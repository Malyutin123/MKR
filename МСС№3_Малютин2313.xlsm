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-108" yWindow="-108" windowWidth="23256" windowHeight="12576"/>
  </bookViews>
  <sheets>
    <sheet name="Sheet1" sheetId="1" r:id="rId1"/>
    <sheet name="Лист1" sheetId="2" r:id="rId2"/>
  </sheets>
  <externalReferences>
    <externalReference r:id="rId3"/>
  </externalReferenc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7" i="1" l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F36" i="1"/>
  <c r="G36" i="1"/>
  <c r="AI38" i="1" l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37" i="1"/>
  <c r="AZ38" i="1" l="1"/>
  <c r="AR38" i="1"/>
  <c r="AW36" i="1"/>
  <c r="AS36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21" i="1"/>
  <c r="C17" i="1"/>
  <c r="AJ31" i="1"/>
  <c r="AJ30" i="1" s="1"/>
  <c r="AJ29" i="1" s="1"/>
  <c r="AJ28" i="1" s="1"/>
  <c r="AJ27" i="1" s="1"/>
  <c r="AJ26" i="1" s="1"/>
  <c r="AJ25" i="1" s="1"/>
  <c r="AJ24" i="1" s="1"/>
  <c r="AJ23" i="1" s="1"/>
  <c r="AJ22" i="1" s="1"/>
  <c r="AJ21" i="1" s="1"/>
  <c r="AJ20" i="1" s="1"/>
  <c r="AJ19" i="1" s="1"/>
  <c r="AJ18" i="1" s="1"/>
  <c r="AJ17" i="1" s="1"/>
  <c r="AJ16" i="1" s="1"/>
  <c r="AJ15" i="1" s="1"/>
  <c r="AJ14" i="1" s="1"/>
  <c r="AJ13" i="1" s="1"/>
  <c r="AJ12" i="1" s="1"/>
  <c r="AJ11" i="1" s="1"/>
  <c r="AJ10" i="1" s="1"/>
  <c r="AJ9" i="1" s="1"/>
  <c r="AJ8" i="1" s="1"/>
  <c r="AJ7" i="1" s="1"/>
  <c r="AJ6" i="1" s="1"/>
  <c r="AJ5" i="1" s="1"/>
  <c r="AJ4" i="1" s="1"/>
  <c r="AJ32" i="1"/>
  <c r="H34" i="1"/>
  <c r="I34" i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G34" i="1"/>
  <c r="E30" i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1" i="1"/>
  <c r="E32" i="1"/>
  <c r="AM36" i="1"/>
  <c r="CY36" i="1" s="1"/>
  <c r="AO36" i="1"/>
  <c r="AP36" i="1"/>
  <c r="AQ36" i="1"/>
  <c r="AR36" i="1"/>
  <c r="AT36" i="1"/>
  <c r="AU36" i="1"/>
  <c r="AX36" i="1"/>
  <c r="AY36" i="1"/>
  <c r="AZ36" i="1"/>
  <c r="BB36" i="1"/>
  <c r="BC36" i="1"/>
  <c r="BE36" i="1"/>
  <c r="BF36" i="1"/>
  <c r="BG36" i="1"/>
  <c r="BH36" i="1"/>
  <c r="BJ36" i="1"/>
  <c r="BK36" i="1"/>
  <c r="BM36" i="1"/>
  <c r="BN36" i="1"/>
  <c r="BO36" i="1"/>
  <c r="AR37" i="1"/>
  <c r="AZ37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36" i="1"/>
  <c r="C23" i="1"/>
  <c r="C22" i="1"/>
  <c r="C18" i="1"/>
  <c r="C5" i="1"/>
  <c r="C6" i="1"/>
  <c r="BS55" i="1" l="1"/>
  <c r="BT55" i="1" s="1"/>
  <c r="BU55" i="1" s="1"/>
  <c r="BV55" i="1" s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S54" i="1"/>
  <c r="BS38" i="1"/>
  <c r="BS53" i="1"/>
  <c r="BS37" i="1"/>
  <c r="BT37" i="1" s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S39" i="1"/>
  <c r="BS63" i="1"/>
  <c r="BT63" i="1" s="1"/>
  <c r="BU63" i="1" s="1"/>
  <c r="BV63" i="1" s="1"/>
  <c r="BW63" i="1" s="1"/>
  <c r="BX63" i="1" s="1"/>
  <c r="BY63" i="1" s="1"/>
  <c r="BZ63" i="1" s="1"/>
  <c r="CA63" i="1" s="1"/>
  <c r="CB63" i="1" s="1"/>
  <c r="BS52" i="1"/>
  <c r="BT52" i="1" s="1"/>
  <c r="BU52" i="1" s="1"/>
  <c r="BV52" i="1" s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BS47" i="1"/>
  <c r="BS46" i="1"/>
  <c r="BT46" i="1" s="1"/>
  <c r="BU46" i="1" s="1"/>
  <c r="BV46" i="1" s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BS60" i="1"/>
  <c r="BS45" i="1"/>
  <c r="BT45" i="1" s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BT53" i="1"/>
  <c r="BU53" i="1" s="1"/>
  <c r="BV53" i="1" s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BS62" i="1"/>
  <c r="BS61" i="1"/>
  <c r="BS59" i="1"/>
  <c r="BT59" i="1" s="1"/>
  <c r="BU59" i="1" s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S44" i="1"/>
  <c r="CK94" i="1"/>
  <c r="CK93" i="1" s="1"/>
  <c r="CK92" i="1" s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BR96" i="1"/>
  <c r="BR95" i="1" s="1"/>
  <c r="BR94" i="1" s="1"/>
  <c r="BR93" i="1" s="1"/>
  <c r="BR92" i="1" s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T38" i="1"/>
  <c r="BU38" i="1" s="1"/>
  <c r="BV38" i="1" s="1"/>
  <c r="BW38" i="1" s="1"/>
  <c r="BY96" i="1"/>
  <c r="CG96" i="1"/>
  <c r="CO96" i="1"/>
  <c r="CA95" i="1"/>
  <c r="CA94" i="1" s="1"/>
  <c r="CA93" i="1" s="1"/>
  <c r="CA92" i="1" s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BV96" i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CL96" i="1"/>
  <c r="CL95" i="1" s="1"/>
  <c r="CL94" i="1" s="1"/>
  <c r="CL93" i="1" s="1"/>
  <c r="CL92" i="1" s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T96" i="1"/>
  <c r="CT95" i="1" s="1"/>
  <c r="CT94" i="1" s="1"/>
  <c r="CT93" i="1" s="1"/>
  <c r="CT92" i="1" s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E96" i="1"/>
  <c r="CE95" i="1" s="1"/>
  <c r="CE94" i="1" s="1"/>
  <c r="CE93" i="1" s="1"/>
  <c r="CE92" i="1" s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U96" i="1"/>
  <c r="CU95" i="1" s="1"/>
  <c r="CU94" i="1" s="1"/>
  <c r="CU93" i="1" s="1"/>
  <c r="CU92" i="1" s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BU94" i="1"/>
  <c r="BU93" i="1" s="1"/>
  <c r="BU92" i="1" s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Z96" i="1"/>
  <c r="CH96" i="1"/>
  <c r="CH95" i="1" s="1"/>
  <c r="CH94" i="1" s="1"/>
  <c r="CH93" i="1" s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P96" i="1"/>
  <c r="BX95" i="1"/>
  <c r="BX94" i="1" s="1"/>
  <c r="BX93" i="1" s="1"/>
  <c r="BX92" i="1" s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CN95" i="1"/>
  <c r="CN94" i="1" s="1"/>
  <c r="CN93" i="1" s="1"/>
  <c r="CN92" i="1" s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BS96" i="1"/>
  <c r="BS95" i="1" s="1"/>
  <c r="BS94" i="1" s="1"/>
  <c r="BS93" i="1" s="1"/>
  <c r="BS92" i="1" s="1"/>
  <c r="BS91" i="1" s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CA96" i="1"/>
  <c r="CI96" i="1"/>
  <c r="CI95" i="1" s="1"/>
  <c r="CI94" i="1" s="1"/>
  <c r="CI93" i="1" s="1"/>
  <c r="CI92" i="1" s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Q96" i="1"/>
  <c r="BY95" i="1"/>
  <c r="BY94" i="1" s="1"/>
  <c r="BY93" i="1" s="1"/>
  <c r="BY92" i="1" s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CG95" i="1"/>
  <c r="CG94" i="1" s="1"/>
  <c r="CG93" i="1" s="1"/>
  <c r="CG92" i="1" s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O95" i="1"/>
  <c r="CO94" i="1" s="1"/>
  <c r="CO93" i="1" s="1"/>
  <c r="CO92" i="1" s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BT96" i="1"/>
  <c r="BT95" i="1" s="1"/>
  <c r="BT94" i="1" s="1"/>
  <c r="BT93" i="1" s="1"/>
  <c r="BT92" i="1" s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CB96" i="1"/>
  <c r="CB95" i="1" s="1"/>
  <c r="CB94" i="1" s="1"/>
  <c r="CB93" i="1" s="1"/>
  <c r="CB92" i="1" s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J96" i="1"/>
  <c r="CJ95" i="1" s="1"/>
  <c r="CJ94" i="1" s="1"/>
  <c r="CJ93" i="1" s="1"/>
  <c r="CJ92" i="1" s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R96" i="1"/>
  <c r="CR95" i="1" s="1"/>
  <c r="CR94" i="1" s="1"/>
  <c r="CR93" i="1" s="1"/>
  <c r="CR92" i="1" s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BZ95" i="1"/>
  <c r="BZ94" i="1" s="1"/>
  <c r="BZ93" i="1" s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CP95" i="1"/>
  <c r="CP94" i="1" s="1"/>
  <c r="CP93" i="1" s="1"/>
  <c r="CP92" i="1" s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BU96" i="1"/>
  <c r="BU95" i="1" s="1"/>
  <c r="CC96" i="1"/>
  <c r="CC95" i="1" s="1"/>
  <c r="CC94" i="1" s="1"/>
  <c r="CC93" i="1" s="1"/>
  <c r="CC92" i="1" s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K96" i="1"/>
  <c r="CK95" i="1" s="1"/>
  <c r="CS96" i="1"/>
  <c r="CS95" i="1" s="1"/>
  <c r="CS94" i="1" s="1"/>
  <c r="CS93" i="1" s="1"/>
  <c r="CS92" i="1" s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Q95" i="1"/>
  <c r="CQ94" i="1" s="1"/>
  <c r="CQ93" i="1" s="1"/>
  <c r="CQ92" i="1" s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D96" i="1"/>
  <c r="CD95" i="1" s="1"/>
  <c r="CD94" i="1" s="1"/>
  <c r="CD93" i="1" s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BW96" i="1"/>
  <c r="BW95" i="1" s="1"/>
  <c r="BW94" i="1" s="1"/>
  <c r="BW93" i="1" s="1"/>
  <c r="BW92" i="1" s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CM96" i="1"/>
  <c r="CM95" i="1" s="1"/>
  <c r="CM94" i="1" s="1"/>
  <c r="CM93" i="1" s="1"/>
  <c r="CM92" i="1" s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N96" i="1"/>
  <c r="CF96" i="1"/>
  <c r="CF95" i="1" s="1"/>
  <c r="CF94" i="1" s="1"/>
  <c r="CF93" i="1" s="1"/>
  <c r="CF92" i="1" s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EA96" i="1"/>
  <c r="EA95" i="1" s="1"/>
  <c r="BX96" i="1"/>
  <c r="BS51" i="1"/>
  <c r="BT51" i="1" s="1"/>
  <c r="BU51" i="1" s="1"/>
  <c r="BV51" i="1" s="1"/>
  <c r="BW51" i="1" s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BS43" i="1"/>
  <c r="BT62" i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T58" i="1"/>
  <c r="BU58" i="1" s="1"/>
  <c r="BV58" i="1" s="1"/>
  <c r="BW58" i="1" s="1"/>
  <c r="BX58" i="1" s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S58" i="1"/>
  <c r="BS50" i="1"/>
  <c r="BT50" i="1" s="1"/>
  <c r="BU50" i="1" s="1"/>
  <c r="BV50" i="1" s="1"/>
  <c r="BW50" i="1" s="1"/>
  <c r="BX50" i="1" s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BS42" i="1"/>
  <c r="BU61" i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44" i="1"/>
  <c r="BU44" i="1" s="1"/>
  <c r="BV44" i="1" s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S65" i="1"/>
  <c r="BT65" i="1" s="1"/>
  <c r="BU65" i="1" s="1"/>
  <c r="BV65" i="1" s="1"/>
  <c r="BW65" i="1" s="1"/>
  <c r="BX65" i="1" s="1"/>
  <c r="BY65" i="1" s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J65" i="1" s="1"/>
  <c r="CK65" i="1" s="1"/>
  <c r="CL65" i="1" s="1"/>
  <c r="CM65" i="1" s="1"/>
  <c r="CN65" i="1" s="1"/>
  <c r="CO65" i="1" s="1"/>
  <c r="CP65" i="1" s="1"/>
  <c r="CQ65" i="1" s="1"/>
  <c r="CR65" i="1" s="1"/>
  <c r="CS65" i="1" s="1"/>
  <c r="CT65" i="1" s="1"/>
  <c r="CU65" i="1" s="1"/>
  <c r="BS57" i="1"/>
  <c r="BT57" i="1" s="1"/>
  <c r="BU57" i="1" s="1"/>
  <c r="BV57" i="1" s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S49" i="1"/>
  <c r="BT49" i="1" s="1"/>
  <c r="BU49" i="1" s="1"/>
  <c r="BV49" i="1" s="1"/>
  <c r="BW49" i="1" s="1"/>
  <c r="BX49" i="1" s="1"/>
  <c r="BY49" i="1" s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BS41" i="1"/>
  <c r="BT41" i="1" s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61" i="1"/>
  <c r="BT54" i="1"/>
  <c r="BU54" i="1" s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47" i="1"/>
  <c r="BU47" i="1" s="1"/>
  <c r="BV47" i="1" s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X38" i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S64" i="1"/>
  <c r="BT64" i="1" s="1"/>
  <c r="BU64" i="1" s="1"/>
  <c r="BV64" i="1" s="1"/>
  <c r="BW64" i="1" s="1"/>
  <c r="BX64" i="1" s="1"/>
  <c r="BY64" i="1" s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J64" i="1" s="1"/>
  <c r="CK64" i="1" s="1"/>
  <c r="CL64" i="1" s="1"/>
  <c r="CM64" i="1" s="1"/>
  <c r="CN64" i="1" s="1"/>
  <c r="CO64" i="1" s="1"/>
  <c r="CP64" i="1" s="1"/>
  <c r="CQ64" i="1" s="1"/>
  <c r="CR64" i="1" s="1"/>
  <c r="CS64" i="1" s="1"/>
  <c r="CT64" i="1" s="1"/>
  <c r="CU64" i="1" s="1"/>
  <c r="BS56" i="1"/>
  <c r="BT56" i="1" s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S48" i="1"/>
  <c r="BT48" i="1" s="1"/>
  <c r="BU48" i="1" s="1"/>
  <c r="BV48" i="1" s="1"/>
  <c r="BW48" i="1" s="1"/>
  <c r="BX48" i="1" s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BS40" i="1"/>
  <c r="BT40" i="1" s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 s="1"/>
  <c r="CC63" i="1"/>
  <c r="CD63" i="1" s="1"/>
  <c r="CE63" i="1" s="1"/>
  <c r="CF63" i="1" s="1"/>
  <c r="CG63" i="1" s="1"/>
  <c r="CH63" i="1" s="1"/>
  <c r="CI63" i="1" s="1"/>
  <c r="CJ63" i="1" s="1"/>
  <c r="CK63" i="1" s="1"/>
  <c r="CL63" i="1" s="1"/>
  <c r="CM63" i="1" s="1"/>
  <c r="CN63" i="1" s="1"/>
  <c r="CO63" i="1" s="1"/>
  <c r="CP63" i="1" s="1"/>
  <c r="CQ63" i="1" s="1"/>
  <c r="CR63" i="1" s="1"/>
  <c r="CS63" i="1" s="1"/>
  <c r="CT63" i="1" s="1"/>
  <c r="CU63" i="1" s="1"/>
  <c r="BT60" i="1"/>
  <c r="BU60" i="1" s="1"/>
  <c r="BV60" i="1" s="1"/>
  <c r="BW60" i="1" s="1"/>
  <c r="BX60" i="1" s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CK53" i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BT42" i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E37" i="1"/>
  <c r="BM37" i="1"/>
  <c r="AQ37" i="1"/>
  <c r="AY37" i="1"/>
  <c r="BG37" i="1"/>
  <c r="AO37" i="1"/>
  <c r="AR39" i="1"/>
  <c r="AZ39" i="1"/>
  <c r="BA38" i="1"/>
  <c r="BI36" i="1"/>
  <c r="AT37" i="1"/>
  <c r="BB37" i="1"/>
  <c r="BJ37" i="1"/>
  <c r="BA37" i="1"/>
  <c r="BA36" i="1"/>
  <c r="AN36" i="1"/>
  <c r="CZ36" i="1" s="1"/>
  <c r="DA36" i="1" s="1"/>
  <c r="DB36" i="1" s="1"/>
  <c r="DC36" i="1" s="1"/>
  <c r="DD36" i="1" s="1"/>
  <c r="DE36" i="1" s="1"/>
  <c r="DF36" i="1" s="1"/>
  <c r="DG36" i="1" s="1"/>
  <c r="AV36" i="1"/>
  <c r="BD36" i="1"/>
  <c r="BL36" i="1"/>
  <c r="BH37" i="1"/>
  <c r="AM37" i="1"/>
  <c r="CY37" i="1" s="1"/>
  <c r="AU37" i="1"/>
  <c r="BC37" i="1"/>
  <c r="BK37" i="1"/>
  <c r="AP37" i="1"/>
  <c r="AX37" i="1"/>
  <c r="BF37" i="1"/>
  <c r="BN37" i="1"/>
  <c r="C19" i="1"/>
  <c r="BS36" i="1" s="1"/>
  <c r="BT36" i="1" s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 s="1"/>
  <c r="DH36" i="1" l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AH36" i="1" s="1"/>
  <c r="EA94" i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AP38" i="1"/>
  <c r="AM38" i="1"/>
  <c r="CY38" i="1" s="1"/>
  <c r="BD37" i="1"/>
  <c r="BI37" i="1"/>
  <c r="AQ38" i="1"/>
  <c r="BN38" i="1"/>
  <c r="BK38" i="1"/>
  <c r="AV37" i="1"/>
  <c r="AO38" i="1"/>
  <c r="BM38" i="1"/>
  <c r="BA39" i="1"/>
  <c r="BB38" i="1"/>
  <c r="BJ38" i="1"/>
  <c r="BF38" i="1"/>
  <c r="BC38" i="1"/>
  <c r="BH38" i="1"/>
  <c r="AN37" i="1"/>
  <c r="CZ37" i="1" s="1"/>
  <c r="DA37" i="1" s="1"/>
  <c r="DB37" i="1" s="1"/>
  <c r="DC37" i="1" s="1"/>
  <c r="DD37" i="1" s="1"/>
  <c r="BE38" i="1"/>
  <c r="AR40" i="1"/>
  <c r="AT38" i="1"/>
  <c r="BG38" i="1"/>
  <c r="AX38" i="1"/>
  <c r="AU38" i="1"/>
  <c r="BL37" i="1"/>
  <c r="AS37" i="1"/>
  <c r="AW37" i="1"/>
  <c r="AZ40" i="1"/>
  <c r="AY38" i="1"/>
  <c r="DE37" i="1" l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AH37" i="1" s="1"/>
  <c r="AG37" i="1" s="1"/>
  <c r="AF37" i="1" s="1"/>
  <c r="AE37" i="1" s="1"/>
  <c r="AG36" i="1"/>
  <c r="BN68" i="1"/>
  <c r="AZ41" i="1"/>
  <c r="BL38" i="1"/>
  <c r="AT39" i="1"/>
  <c r="BB39" i="1"/>
  <c r="AV38" i="1"/>
  <c r="AW38" i="1"/>
  <c r="AU39" i="1"/>
  <c r="BC39" i="1"/>
  <c r="BK39" i="1"/>
  <c r="BD38" i="1"/>
  <c r="BI38" i="1"/>
  <c r="AX39" i="1"/>
  <c r="BE39" i="1"/>
  <c r="BF39" i="1"/>
  <c r="BM39" i="1"/>
  <c r="BN39" i="1"/>
  <c r="AN38" i="1"/>
  <c r="CZ38" i="1" s="1"/>
  <c r="DA38" i="1" s="1"/>
  <c r="DB38" i="1" s="1"/>
  <c r="DC38" i="1" s="1"/>
  <c r="DD38" i="1" s="1"/>
  <c r="AM39" i="1"/>
  <c r="CY39" i="1" s="1"/>
  <c r="BA40" i="1"/>
  <c r="BG39" i="1"/>
  <c r="BJ39" i="1"/>
  <c r="AQ39" i="1"/>
  <c r="AR41" i="1"/>
  <c r="AS38" i="1"/>
  <c r="AO39" i="1"/>
  <c r="AY39" i="1"/>
  <c r="BH39" i="1"/>
  <c r="AP39" i="1"/>
  <c r="DE38" i="1" l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AH38" i="1" s="1"/>
  <c r="AG38" i="1" s="1"/>
  <c r="AF38" i="1" s="1"/>
  <c r="BN69" i="1"/>
  <c r="BL69" i="1"/>
  <c r="BM69" i="1"/>
  <c r="AF36" i="1"/>
  <c r="BM68" i="1"/>
  <c r="BN40" i="1"/>
  <c r="AX40" i="1"/>
  <c r="AV39" i="1"/>
  <c r="AZ42" i="1"/>
  <c r="BH40" i="1"/>
  <c r="AR42" i="1"/>
  <c r="BA41" i="1"/>
  <c r="BM40" i="1"/>
  <c r="BC40" i="1"/>
  <c r="AM40" i="1"/>
  <c r="CY40" i="1" s="1"/>
  <c r="AQ40" i="1"/>
  <c r="AO40" i="1"/>
  <c r="BF40" i="1"/>
  <c r="AT40" i="1"/>
  <c r="BB40" i="1"/>
  <c r="AY40" i="1"/>
  <c r="BI39" i="1"/>
  <c r="BJ40" i="1"/>
  <c r="BE40" i="1"/>
  <c r="AU40" i="1"/>
  <c r="AS39" i="1"/>
  <c r="AN39" i="1"/>
  <c r="CZ39" i="1" s="1"/>
  <c r="DA39" i="1" s="1"/>
  <c r="DB39" i="1" s="1"/>
  <c r="DC39" i="1" s="1"/>
  <c r="DD39" i="1" s="1"/>
  <c r="BD39" i="1"/>
  <c r="AW39" i="1"/>
  <c r="BL39" i="1"/>
  <c r="AP40" i="1"/>
  <c r="BG40" i="1"/>
  <c r="BK40" i="1"/>
  <c r="AD37" i="1"/>
  <c r="BK69" i="1"/>
  <c r="DE39" i="1" l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AH39" i="1" s="1"/>
  <c r="AG39" i="1" s="1"/>
  <c r="BN70" i="1"/>
  <c r="BM70" i="1"/>
  <c r="AE36" i="1"/>
  <c r="BL68" i="1"/>
  <c r="AS40" i="1"/>
  <c r="AZ43" i="1"/>
  <c r="AP41" i="1"/>
  <c r="BE41" i="1"/>
  <c r="BB41" i="1"/>
  <c r="BL40" i="1"/>
  <c r="AT41" i="1"/>
  <c r="AW40" i="1"/>
  <c r="BI40" i="1"/>
  <c r="BA42" i="1"/>
  <c r="BJ41" i="1"/>
  <c r="AV40" i="1"/>
  <c r="AU41" i="1"/>
  <c r="BF41" i="1"/>
  <c r="BK41" i="1"/>
  <c r="BG41" i="1"/>
  <c r="BD40" i="1"/>
  <c r="AY41" i="1"/>
  <c r="AM41" i="1"/>
  <c r="CY41" i="1" s="1"/>
  <c r="AR43" i="1"/>
  <c r="AX41" i="1"/>
  <c r="BM41" i="1"/>
  <c r="AE38" i="1"/>
  <c r="BL70" i="1"/>
  <c r="AO41" i="1"/>
  <c r="BH41" i="1"/>
  <c r="AN40" i="1"/>
  <c r="CZ40" i="1" s="1"/>
  <c r="DA40" i="1" s="1"/>
  <c r="DB40" i="1" s="1"/>
  <c r="DC40" i="1" s="1"/>
  <c r="DD40" i="1" s="1"/>
  <c r="AQ41" i="1"/>
  <c r="BC41" i="1"/>
  <c r="BN41" i="1"/>
  <c r="AC37" i="1"/>
  <c r="BJ69" i="1"/>
  <c r="AF39" i="1" l="1"/>
  <c r="AE39" i="1" s="1"/>
  <c r="BM71" i="1"/>
  <c r="BN71" i="1"/>
  <c r="DE40" i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AH40" i="1" s="1"/>
  <c r="AG40" i="1" s="1"/>
  <c r="AD36" i="1"/>
  <c r="BK68" i="1"/>
  <c r="AN41" i="1"/>
  <c r="CZ41" i="1" s="1"/>
  <c r="DA41" i="1" s="1"/>
  <c r="DB41" i="1" s="1"/>
  <c r="DC41" i="1" s="1"/>
  <c r="DD41" i="1" s="1"/>
  <c r="AW41" i="1"/>
  <c r="AM42" i="1"/>
  <c r="CY42" i="1" s="1"/>
  <c r="BK42" i="1"/>
  <c r="BJ42" i="1"/>
  <c r="BE42" i="1"/>
  <c r="BN42" i="1"/>
  <c r="BH42" i="1"/>
  <c r="BM42" i="1"/>
  <c r="AY42" i="1"/>
  <c r="AT42" i="1"/>
  <c r="AP42" i="1"/>
  <c r="BC42" i="1"/>
  <c r="BF42" i="1"/>
  <c r="BA43" i="1"/>
  <c r="BL41" i="1"/>
  <c r="AZ44" i="1"/>
  <c r="AD38" i="1"/>
  <c r="BK70" i="1"/>
  <c r="AO42" i="1"/>
  <c r="BD41" i="1"/>
  <c r="AQ42" i="1"/>
  <c r="AU42" i="1"/>
  <c r="AX42" i="1"/>
  <c r="AR44" i="1"/>
  <c r="BG42" i="1"/>
  <c r="AV41" i="1"/>
  <c r="BI41" i="1"/>
  <c r="BB42" i="1"/>
  <c r="AS41" i="1"/>
  <c r="AB37" i="1"/>
  <c r="BI69" i="1"/>
  <c r="DE41" i="1" l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AH41" i="1" s="1"/>
  <c r="AG41" i="1" s="1"/>
  <c r="BL71" i="1"/>
  <c r="BN72" i="1"/>
  <c r="AC36" i="1"/>
  <c r="BJ68" i="1"/>
  <c r="BG43" i="1"/>
  <c r="BN43" i="1"/>
  <c r="AR45" i="1"/>
  <c r="AZ45" i="1"/>
  <c r="AU43" i="1"/>
  <c r="AT43" i="1"/>
  <c r="AM43" i="1"/>
  <c r="CY43" i="1" s="1"/>
  <c r="BB43" i="1"/>
  <c r="AQ43" i="1"/>
  <c r="BF43" i="1"/>
  <c r="AY43" i="1"/>
  <c r="BE43" i="1"/>
  <c r="AS42" i="1"/>
  <c r="AW42" i="1"/>
  <c r="BJ70" i="1"/>
  <c r="AC38" i="1"/>
  <c r="BI42" i="1"/>
  <c r="BD42" i="1"/>
  <c r="BJ43" i="1"/>
  <c r="BA44" i="1"/>
  <c r="AD39" i="1"/>
  <c r="BK71" i="1"/>
  <c r="AF40" i="1"/>
  <c r="BM72" i="1"/>
  <c r="BC43" i="1"/>
  <c r="BM43" i="1"/>
  <c r="AV42" i="1"/>
  <c r="AX43" i="1"/>
  <c r="AO43" i="1"/>
  <c r="BL42" i="1"/>
  <c r="AP43" i="1"/>
  <c r="BH43" i="1"/>
  <c r="BK43" i="1"/>
  <c r="AN42" i="1"/>
  <c r="CZ42" i="1" s="1"/>
  <c r="DA42" i="1" s="1"/>
  <c r="DB42" i="1" s="1"/>
  <c r="DC42" i="1" s="1"/>
  <c r="DD42" i="1" s="1"/>
  <c r="AA37" i="1"/>
  <c r="BH69" i="1"/>
  <c r="BN73" i="1" l="1"/>
  <c r="DE42" i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AB36" i="1"/>
  <c r="BI68" i="1"/>
  <c r="AO44" i="1"/>
  <c r="BC44" i="1"/>
  <c r="AZ46" i="1"/>
  <c r="BJ44" i="1"/>
  <c r="AM44" i="1"/>
  <c r="CY44" i="1" s="1"/>
  <c r="AR46" i="1"/>
  <c r="BK44" i="1"/>
  <c r="AF41" i="1"/>
  <c r="BM73" i="1"/>
  <c r="AX44" i="1"/>
  <c r="AE40" i="1"/>
  <c r="BL72" i="1"/>
  <c r="BD43" i="1"/>
  <c r="AW43" i="1"/>
  <c r="BF44" i="1"/>
  <c r="BH44" i="1"/>
  <c r="AT44" i="1"/>
  <c r="BN44" i="1"/>
  <c r="AY44" i="1"/>
  <c r="AP44" i="1"/>
  <c r="AV43" i="1"/>
  <c r="AC39" i="1"/>
  <c r="BJ71" i="1"/>
  <c r="BI43" i="1"/>
  <c r="AS43" i="1"/>
  <c r="AQ44" i="1"/>
  <c r="BM44" i="1"/>
  <c r="AB38" i="1"/>
  <c r="BI70" i="1"/>
  <c r="BE44" i="1"/>
  <c r="AU44" i="1"/>
  <c r="BG44" i="1"/>
  <c r="AN43" i="1"/>
  <c r="CZ43" i="1" s="1"/>
  <c r="DA43" i="1" s="1"/>
  <c r="DB43" i="1" s="1"/>
  <c r="DC43" i="1" s="1"/>
  <c r="DD43" i="1" s="1"/>
  <c r="DE43" i="1" s="1"/>
  <c r="DF43" i="1" s="1"/>
  <c r="DG43" i="1" s="1"/>
  <c r="BL43" i="1"/>
  <c r="BA45" i="1"/>
  <c r="BB44" i="1"/>
  <c r="Z37" i="1"/>
  <c r="BG69" i="1"/>
  <c r="AH42" i="1" l="1"/>
  <c r="BN74" i="1" s="1"/>
  <c r="DH43" i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AH43" i="1" s="1"/>
  <c r="AG43" i="1" s="1"/>
  <c r="AA36" i="1"/>
  <c r="BH68" i="1"/>
  <c r="BJ45" i="1"/>
  <c r="BA46" i="1"/>
  <c r="AQ45" i="1"/>
  <c r="BH45" i="1"/>
  <c r="AR47" i="1"/>
  <c r="AZ47" i="1"/>
  <c r="BD44" i="1"/>
  <c r="AS44" i="1"/>
  <c r="AT45" i="1"/>
  <c r="BL44" i="1"/>
  <c r="AN44" i="1"/>
  <c r="CZ44" i="1" s="1"/>
  <c r="DA44" i="1" s="1"/>
  <c r="DB44" i="1" s="1"/>
  <c r="DC44" i="1" s="1"/>
  <c r="DD44" i="1" s="1"/>
  <c r="BH70" i="1"/>
  <c r="AA38" i="1"/>
  <c r="BI44" i="1"/>
  <c r="AY45" i="1"/>
  <c r="BF45" i="1"/>
  <c r="AX45" i="1"/>
  <c r="BC45" i="1"/>
  <c r="AU45" i="1"/>
  <c r="BK45" i="1"/>
  <c r="AP45" i="1"/>
  <c r="AW44" i="1"/>
  <c r="AM45" i="1"/>
  <c r="CY45" i="1" s="1"/>
  <c r="AV44" i="1"/>
  <c r="BE45" i="1"/>
  <c r="AD40" i="1"/>
  <c r="BK72" i="1"/>
  <c r="BB45" i="1"/>
  <c r="BG45" i="1"/>
  <c r="BM45" i="1"/>
  <c r="AB39" i="1"/>
  <c r="BI71" i="1"/>
  <c r="BN45" i="1"/>
  <c r="BL73" i="1"/>
  <c r="AE41" i="1"/>
  <c r="AO45" i="1"/>
  <c r="Y37" i="1"/>
  <c r="BF69" i="1"/>
  <c r="AG42" i="1" l="1"/>
  <c r="AF42" i="1" s="1"/>
  <c r="BN75" i="1"/>
  <c r="DE44" i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Z36" i="1"/>
  <c r="BG68" i="1"/>
  <c r="AY46" i="1"/>
  <c r="AC40" i="1"/>
  <c r="BJ72" i="1"/>
  <c r="BH46" i="1"/>
  <c r="AO46" i="1"/>
  <c r="BM46" i="1"/>
  <c r="BE46" i="1"/>
  <c r="AW45" i="1"/>
  <c r="BI45" i="1"/>
  <c r="BL45" i="1"/>
  <c r="BH71" i="1"/>
  <c r="AA39" i="1"/>
  <c r="BC46" i="1"/>
  <c r="BG70" i="1"/>
  <c r="Z38" i="1"/>
  <c r="AF43" i="1"/>
  <c r="BM75" i="1"/>
  <c r="AQ46" i="1"/>
  <c r="BD45" i="1"/>
  <c r="AD41" i="1"/>
  <c r="BK73" i="1"/>
  <c r="AP46" i="1"/>
  <c r="AX46" i="1"/>
  <c r="AT46" i="1"/>
  <c r="AZ48" i="1"/>
  <c r="BA47" i="1"/>
  <c r="BG46" i="1"/>
  <c r="BF46" i="1"/>
  <c r="AN45" i="1"/>
  <c r="CZ45" i="1" s="1"/>
  <c r="DA45" i="1" s="1"/>
  <c r="DB45" i="1" s="1"/>
  <c r="DC45" i="1" s="1"/>
  <c r="DD45" i="1" s="1"/>
  <c r="AV45" i="1"/>
  <c r="BK46" i="1"/>
  <c r="BN46" i="1"/>
  <c r="BB46" i="1"/>
  <c r="AM46" i="1"/>
  <c r="CY46" i="1" s="1"/>
  <c r="AU46" i="1"/>
  <c r="AS45" i="1"/>
  <c r="AR48" i="1"/>
  <c r="BJ46" i="1"/>
  <c r="X37" i="1"/>
  <c r="BE69" i="1"/>
  <c r="BM74" i="1" l="1"/>
  <c r="DE45" i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AH45" i="1" s="1"/>
  <c r="AG45" i="1" s="1"/>
  <c r="AH44" i="1"/>
  <c r="AG44" i="1" s="1"/>
  <c r="Y36" i="1"/>
  <c r="BF68" i="1"/>
  <c r="BK47" i="1"/>
  <c r="BH47" i="1"/>
  <c r="AT47" i="1"/>
  <c r="AM47" i="1"/>
  <c r="CY47" i="1" s="1"/>
  <c r="AV46" i="1"/>
  <c r="BG71" i="1"/>
  <c r="Z39" i="1"/>
  <c r="BC47" i="1"/>
  <c r="AR49" i="1"/>
  <c r="AN46" i="1"/>
  <c r="CZ46" i="1" s="1"/>
  <c r="DA46" i="1" s="1"/>
  <c r="DB46" i="1" s="1"/>
  <c r="DC46" i="1" s="1"/>
  <c r="DD46" i="1" s="1"/>
  <c r="BA48" i="1"/>
  <c r="AX47" i="1"/>
  <c r="AQ47" i="1"/>
  <c r="BE47" i="1"/>
  <c r="AB40" i="1"/>
  <c r="BI72" i="1"/>
  <c r="BG47" i="1"/>
  <c r="BB47" i="1"/>
  <c r="BD46" i="1"/>
  <c r="AS46" i="1"/>
  <c r="AZ49" i="1"/>
  <c r="AP47" i="1"/>
  <c r="AE43" i="1"/>
  <c r="BL75" i="1"/>
  <c r="BL46" i="1"/>
  <c r="BM47" i="1"/>
  <c r="AE42" i="1"/>
  <c r="BL74" i="1"/>
  <c r="BJ47" i="1"/>
  <c r="AW46" i="1"/>
  <c r="BN47" i="1"/>
  <c r="BF47" i="1"/>
  <c r="BF70" i="1"/>
  <c r="Y38" i="1"/>
  <c r="AU47" i="1"/>
  <c r="AC41" i="1"/>
  <c r="BJ73" i="1"/>
  <c r="BI46" i="1"/>
  <c r="AO47" i="1"/>
  <c r="AY47" i="1"/>
  <c r="W37" i="1"/>
  <c r="BD69" i="1"/>
  <c r="BN77" i="1" l="1"/>
  <c r="DE46" i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AH46" i="1" s="1"/>
  <c r="AG46" i="1" s="1"/>
  <c r="AF46" i="1" s="1"/>
  <c r="BN76" i="1"/>
  <c r="X36" i="1"/>
  <c r="BE68" i="1"/>
  <c r="AO48" i="1"/>
  <c r="AU48" i="1"/>
  <c r="BN48" i="1"/>
  <c r="AZ50" i="1"/>
  <c r="BG48" i="1"/>
  <c r="AX48" i="1"/>
  <c r="BC48" i="1"/>
  <c r="AW47" i="1"/>
  <c r="BL47" i="1"/>
  <c r="AS47" i="1"/>
  <c r="BH72" i="1"/>
  <c r="AA40" i="1"/>
  <c r="BA49" i="1"/>
  <c r="BH48" i="1"/>
  <c r="BE70" i="1"/>
  <c r="X38" i="1"/>
  <c r="BI73" i="1"/>
  <c r="AB41" i="1"/>
  <c r="AF44" i="1"/>
  <c r="BM76" i="1"/>
  <c r="BJ48" i="1"/>
  <c r="BK75" i="1"/>
  <c r="AD43" i="1"/>
  <c r="BD47" i="1"/>
  <c r="BE48" i="1"/>
  <c r="AN47" i="1"/>
  <c r="CZ47" i="1" s="1"/>
  <c r="DA47" i="1" s="1"/>
  <c r="DB47" i="1" s="1"/>
  <c r="DC47" i="1" s="1"/>
  <c r="DD47" i="1" s="1"/>
  <c r="DE47" i="1" s="1"/>
  <c r="DF47" i="1" s="1"/>
  <c r="DG47" i="1" s="1"/>
  <c r="AV47" i="1"/>
  <c r="BK48" i="1"/>
  <c r="AT48" i="1"/>
  <c r="AF45" i="1"/>
  <c r="BM77" i="1"/>
  <c r="BF48" i="1"/>
  <c r="AD42" i="1"/>
  <c r="BK74" i="1"/>
  <c r="AP48" i="1"/>
  <c r="BB48" i="1"/>
  <c r="AQ48" i="1"/>
  <c r="AR50" i="1"/>
  <c r="BI47" i="1"/>
  <c r="Y39" i="1"/>
  <c r="BF71" i="1"/>
  <c r="AY48" i="1"/>
  <c r="BM48" i="1"/>
  <c r="AM48" i="1"/>
  <c r="CY48" i="1" s="1"/>
  <c r="V37" i="1"/>
  <c r="BC69" i="1"/>
  <c r="DH47" i="1" l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AH47" i="1" s="1"/>
  <c r="AG47" i="1" s="1"/>
  <c r="BN78" i="1"/>
  <c r="BM78" i="1"/>
  <c r="W36" i="1"/>
  <c r="BD68" i="1"/>
  <c r="AM49" i="1"/>
  <c r="CY49" i="1" s="1"/>
  <c r="BI48" i="1"/>
  <c r="BE49" i="1"/>
  <c r="AA41" i="1"/>
  <c r="BH73" i="1"/>
  <c r="BG72" i="1"/>
  <c r="Z40" i="1"/>
  <c r="AW48" i="1"/>
  <c r="BM49" i="1"/>
  <c r="AR51" i="1"/>
  <c r="AC42" i="1"/>
  <c r="BJ74" i="1"/>
  <c r="BK49" i="1"/>
  <c r="BD48" i="1"/>
  <c r="BC49" i="1"/>
  <c r="BN49" i="1"/>
  <c r="AP49" i="1"/>
  <c r="AZ51" i="1"/>
  <c r="AY49" i="1"/>
  <c r="AC43" i="1"/>
  <c r="BJ75" i="1"/>
  <c r="W38" i="1"/>
  <c r="BD70" i="1"/>
  <c r="AT49" i="1"/>
  <c r="AE46" i="1"/>
  <c r="BL78" i="1"/>
  <c r="AQ49" i="1"/>
  <c r="BF49" i="1"/>
  <c r="AV48" i="1"/>
  <c r="AS48" i="1"/>
  <c r="AX49" i="1"/>
  <c r="AU49" i="1"/>
  <c r="AE44" i="1"/>
  <c r="BL76" i="1"/>
  <c r="X39" i="1"/>
  <c r="BE71" i="1"/>
  <c r="AN48" i="1"/>
  <c r="CZ48" i="1" s="1"/>
  <c r="DA48" i="1" s="1"/>
  <c r="DB48" i="1" s="1"/>
  <c r="DC48" i="1" s="1"/>
  <c r="DD48" i="1" s="1"/>
  <c r="BA50" i="1"/>
  <c r="BB49" i="1"/>
  <c r="AE45" i="1"/>
  <c r="BL77" i="1"/>
  <c r="BJ49" i="1"/>
  <c r="BH49" i="1"/>
  <c r="BL48" i="1"/>
  <c r="BG49" i="1"/>
  <c r="AO49" i="1"/>
  <c r="U37" i="1"/>
  <c r="BB69" i="1"/>
  <c r="BN79" i="1" l="1"/>
  <c r="DE48" i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AH48" i="1" s="1"/>
  <c r="AG48" i="1" s="1"/>
  <c r="V36" i="1"/>
  <c r="BC68" i="1"/>
  <c r="BK76" i="1"/>
  <c r="AD44" i="1"/>
  <c r="AS49" i="1"/>
  <c r="AD46" i="1"/>
  <c r="BK78" i="1"/>
  <c r="AY50" i="1"/>
  <c r="BC50" i="1"/>
  <c r="AR52" i="1"/>
  <c r="Z41" i="1"/>
  <c r="BG73" i="1"/>
  <c r="BH50" i="1"/>
  <c r="BM79" i="1"/>
  <c r="AF47" i="1"/>
  <c r="AV49" i="1"/>
  <c r="AT50" i="1"/>
  <c r="AZ52" i="1"/>
  <c r="BD49" i="1"/>
  <c r="BM50" i="1"/>
  <c r="BE50" i="1"/>
  <c r="BA51" i="1"/>
  <c r="AO50" i="1"/>
  <c r="BJ50" i="1"/>
  <c r="AN49" i="1"/>
  <c r="CZ49" i="1" s="1"/>
  <c r="DA49" i="1" s="1"/>
  <c r="DB49" i="1" s="1"/>
  <c r="DC49" i="1" s="1"/>
  <c r="DD49" i="1" s="1"/>
  <c r="AU50" i="1"/>
  <c r="BF50" i="1"/>
  <c r="V38" i="1"/>
  <c r="BC70" i="1"/>
  <c r="AP50" i="1"/>
  <c r="BK50" i="1"/>
  <c r="AW49" i="1"/>
  <c r="BI49" i="1"/>
  <c r="BG50" i="1"/>
  <c r="AD45" i="1"/>
  <c r="BK77" i="1"/>
  <c r="W39" i="1"/>
  <c r="BD71" i="1"/>
  <c r="Y40" i="1"/>
  <c r="BF72" i="1"/>
  <c r="AX50" i="1"/>
  <c r="AQ50" i="1"/>
  <c r="BI75" i="1"/>
  <c r="AB43" i="1"/>
  <c r="BN50" i="1"/>
  <c r="AB42" i="1"/>
  <c r="BI74" i="1"/>
  <c r="BL49" i="1"/>
  <c r="BB50" i="1"/>
  <c r="AM50" i="1"/>
  <c r="CY50" i="1" s="1"/>
  <c r="BA69" i="1"/>
  <c r="BN80" i="1" l="1"/>
  <c r="DE49" i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U36" i="1"/>
  <c r="BB68" i="1"/>
  <c r="AC45" i="1"/>
  <c r="BJ77" i="1"/>
  <c r="BA52" i="1"/>
  <c r="AM51" i="1"/>
  <c r="CY51" i="1" s="1"/>
  <c r="AX51" i="1"/>
  <c r="BK51" i="1"/>
  <c r="AU51" i="1"/>
  <c r="AF48" i="1"/>
  <c r="BM80" i="1"/>
  <c r="BG51" i="1"/>
  <c r="AP51" i="1"/>
  <c r="AN50" i="1"/>
  <c r="CZ50" i="1" s="1"/>
  <c r="DA50" i="1" s="1"/>
  <c r="DB50" i="1" s="1"/>
  <c r="DC50" i="1" s="1"/>
  <c r="DD50" i="1" s="1"/>
  <c r="BE51" i="1"/>
  <c r="AT51" i="1"/>
  <c r="Y41" i="1"/>
  <c r="BF73" i="1"/>
  <c r="BJ78" i="1"/>
  <c r="AC46" i="1"/>
  <c r="BH51" i="1"/>
  <c r="BN51" i="1"/>
  <c r="BB51" i="1"/>
  <c r="AA43" i="1"/>
  <c r="BH75" i="1"/>
  <c r="AY51" i="1"/>
  <c r="BE72" i="1"/>
  <c r="X40" i="1"/>
  <c r="BI50" i="1"/>
  <c r="U38" i="1"/>
  <c r="BB70" i="1"/>
  <c r="BJ51" i="1"/>
  <c r="BM51" i="1"/>
  <c r="AV50" i="1"/>
  <c r="AR53" i="1"/>
  <c r="AS50" i="1"/>
  <c r="AA42" i="1"/>
  <c r="BH74" i="1"/>
  <c r="AZ53" i="1"/>
  <c r="BL50" i="1"/>
  <c r="AE47" i="1"/>
  <c r="BL79" i="1"/>
  <c r="AC44" i="1"/>
  <c r="BJ76" i="1"/>
  <c r="AQ51" i="1"/>
  <c r="V39" i="1"/>
  <c r="BC71" i="1"/>
  <c r="AW50" i="1"/>
  <c r="BF51" i="1"/>
  <c r="AO51" i="1"/>
  <c r="BD50" i="1"/>
  <c r="BC51" i="1"/>
  <c r="S37" i="1"/>
  <c r="AZ69" i="1"/>
  <c r="DE50" i="1" l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AH49" i="1"/>
  <c r="AG49" i="1" s="1"/>
  <c r="T36" i="1"/>
  <c r="BA68" i="1"/>
  <c r="BD51" i="1"/>
  <c r="U39" i="1"/>
  <c r="BB71" i="1"/>
  <c r="BK79" i="1"/>
  <c r="AD47" i="1"/>
  <c r="AS51" i="1"/>
  <c r="BJ52" i="1"/>
  <c r="AY52" i="1"/>
  <c r="BH52" i="1"/>
  <c r="BE52" i="1"/>
  <c r="AE48" i="1"/>
  <c r="BL80" i="1"/>
  <c r="AO52" i="1"/>
  <c r="AQ52" i="1"/>
  <c r="BL51" i="1"/>
  <c r="AR54" i="1"/>
  <c r="BA70" i="1"/>
  <c r="BG75" i="1"/>
  <c r="Z43" i="1"/>
  <c r="AN51" i="1"/>
  <c r="CZ51" i="1" s="1"/>
  <c r="DA51" i="1" s="1"/>
  <c r="DB51" i="1" s="1"/>
  <c r="DC51" i="1" s="1"/>
  <c r="DD51" i="1" s="1"/>
  <c r="AU52" i="1"/>
  <c r="BA53" i="1"/>
  <c r="BF52" i="1"/>
  <c r="AZ54" i="1"/>
  <c r="AV51" i="1"/>
  <c r="BI51" i="1"/>
  <c r="BB52" i="1"/>
  <c r="X41" i="1"/>
  <c r="BE73" i="1"/>
  <c r="AP52" i="1"/>
  <c r="BK52" i="1"/>
  <c r="BI78" i="1"/>
  <c r="AB46" i="1"/>
  <c r="BD72" i="1"/>
  <c r="W40" i="1"/>
  <c r="AB45" i="1"/>
  <c r="BI77" i="1"/>
  <c r="BC52" i="1"/>
  <c r="AW51" i="1"/>
  <c r="BI76" i="1"/>
  <c r="AB44" i="1"/>
  <c r="Z42" i="1"/>
  <c r="BG74" i="1"/>
  <c r="BM52" i="1"/>
  <c r="BN52" i="1"/>
  <c r="AT52" i="1"/>
  <c r="BG52" i="1"/>
  <c r="AX52" i="1"/>
  <c r="AM52" i="1"/>
  <c r="CY52" i="1" s="1"/>
  <c r="R37" i="1"/>
  <c r="AY69" i="1"/>
  <c r="BN81" i="1" l="1"/>
  <c r="DE51" i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AH51" i="1" s="1"/>
  <c r="AG51" i="1" s="1"/>
  <c r="AH50" i="1"/>
  <c r="S36" i="1"/>
  <c r="AZ68" i="1"/>
  <c r="AW52" i="1"/>
  <c r="AA46" i="1"/>
  <c r="BH78" i="1"/>
  <c r="AN52" i="1"/>
  <c r="CZ52" i="1" s="1"/>
  <c r="DA52" i="1" s="1"/>
  <c r="DB52" i="1" s="1"/>
  <c r="DC52" i="1" s="1"/>
  <c r="DD52" i="1" s="1"/>
  <c r="BF75" i="1"/>
  <c r="Y43" i="1"/>
  <c r="AC47" i="1"/>
  <c r="BJ79" i="1"/>
  <c r="BB53" i="1"/>
  <c r="BE53" i="1"/>
  <c r="AX53" i="1"/>
  <c r="BM53" i="1"/>
  <c r="BC53" i="1"/>
  <c r="BK53" i="1"/>
  <c r="BI52" i="1"/>
  <c r="BA54" i="1"/>
  <c r="AQ53" i="1"/>
  <c r="BH53" i="1"/>
  <c r="AS52" i="1"/>
  <c r="BG53" i="1"/>
  <c r="BF74" i="1"/>
  <c r="Y42" i="1"/>
  <c r="AA45" i="1"/>
  <c r="BH77" i="1"/>
  <c r="AP53" i="1"/>
  <c r="AV52" i="1"/>
  <c r="BM81" i="1"/>
  <c r="AF49" i="1"/>
  <c r="AZ70" i="1"/>
  <c r="S38" i="1"/>
  <c r="AO53" i="1"/>
  <c r="AY53" i="1"/>
  <c r="BA71" i="1"/>
  <c r="BN53" i="1"/>
  <c r="BF53" i="1"/>
  <c r="BH76" i="1"/>
  <c r="AA44" i="1"/>
  <c r="V40" i="1"/>
  <c r="BC72" i="1"/>
  <c r="BL52" i="1"/>
  <c r="AM53" i="1"/>
  <c r="CY53" i="1" s="1"/>
  <c r="AT53" i="1"/>
  <c r="W41" i="1"/>
  <c r="BD73" i="1"/>
  <c r="AZ55" i="1"/>
  <c r="AU53" i="1"/>
  <c r="AR55" i="1"/>
  <c r="BK80" i="1"/>
  <c r="AD48" i="1"/>
  <c r="BJ53" i="1"/>
  <c r="BD52" i="1"/>
  <c r="Q37" i="1"/>
  <c r="AX69" i="1"/>
  <c r="DE52" i="1" l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BN83" i="1"/>
  <c r="AG50" i="1"/>
  <c r="BN82" i="1"/>
  <c r="R36" i="1"/>
  <c r="AY68" i="1"/>
  <c r="U40" i="1"/>
  <c r="BB72" i="1"/>
  <c r="AE49" i="1"/>
  <c r="BL81" i="1"/>
  <c r="X42" i="1"/>
  <c r="BE74" i="1"/>
  <c r="BE54" i="1"/>
  <c r="X43" i="1"/>
  <c r="BE75" i="1"/>
  <c r="S39" i="1"/>
  <c r="AZ71" i="1"/>
  <c r="BK54" i="1"/>
  <c r="AY54" i="1"/>
  <c r="AV53" i="1"/>
  <c r="BG54" i="1"/>
  <c r="AQ54" i="1"/>
  <c r="BC54" i="1"/>
  <c r="BB54" i="1"/>
  <c r="AN53" i="1"/>
  <c r="CZ53" i="1" s="1"/>
  <c r="DA53" i="1" s="1"/>
  <c r="DB53" i="1" s="1"/>
  <c r="DC53" i="1" s="1"/>
  <c r="DD53" i="1" s="1"/>
  <c r="AM54" i="1"/>
  <c r="CY54" i="1" s="1"/>
  <c r="AT54" i="1"/>
  <c r="BJ54" i="1"/>
  <c r="AZ56" i="1"/>
  <c r="BF54" i="1"/>
  <c r="AO54" i="1"/>
  <c r="AP54" i="1"/>
  <c r="AS53" i="1"/>
  <c r="BA55" i="1"/>
  <c r="BM54" i="1"/>
  <c r="Z46" i="1"/>
  <c r="BG78" i="1"/>
  <c r="AR56" i="1"/>
  <c r="AU54" i="1"/>
  <c r="AC48" i="1"/>
  <c r="BJ80" i="1"/>
  <c r="BL53" i="1"/>
  <c r="R38" i="1"/>
  <c r="AY70" i="1"/>
  <c r="AF51" i="1"/>
  <c r="BM83" i="1"/>
  <c r="BG76" i="1"/>
  <c r="Z44" i="1"/>
  <c r="BH54" i="1"/>
  <c r="BD53" i="1"/>
  <c r="V41" i="1"/>
  <c r="BC73" i="1"/>
  <c r="BN54" i="1"/>
  <c r="Z45" i="1"/>
  <c r="BG77" i="1"/>
  <c r="BI53" i="1"/>
  <c r="AX54" i="1"/>
  <c r="AB47" i="1"/>
  <c r="BI79" i="1"/>
  <c r="AW53" i="1"/>
  <c r="P37" i="1"/>
  <c r="AW69" i="1"/>
  <c r="DE53" i="1" l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AH53" i="1" s="1"/>
  <c r="BN85" i="1" s="1"/>
  <c r="AH52" i="1"/>
  <c r="BN84" i="1" s="1"/>
  <c r="BM82" i="1"/>
  <c r="AF50" i="1"/>
  <c r="Q36" i="1"/>
  <c r="AX68" i="1"/>
  <c r="AW54" i="1"/>
  <c r="BF77" i="1"/>
  <c r="Y45" i="1"/>
  <c r="BH55" i="1"/>
  <c r="BL54" i="1"/>
  <c r="Y46" i="1"/>
  <c r="BF78" i="1"/>
  <c r="AP55" i="1"/>
  <c r="BJ55" i="1"/>
  <c r="AA47" i="1"/>
  <c r="BH79" i="1"/>
  <c r="BN55" i="1"/>
  <c r="BI80" i="1"/>
  <c r="AB48" i="1"/>
  <c r="BM55" i="1"/>
  <c r="AO55" i="1"/>
  <c r="AT55" i="1"/>
  <c r="AQ55" i="1"/>
  <c r="AN54" i="1"/>
  <c r="CZ54" i="1" s="1"/>
  <c r="DA54" i="1" s="1"/>
  <c r="DB54" i="1" s="1"/>
  <c r="DC54" i="1" s="1"/>
  <c r="DD54" i="1" s="1"/>
  <c r="BG55" i="1"/>
  <c r="BK55" i="1"/>
  <c r="W42" i="1"/>
  <c r="BD74" i="1"/>
  <c r="AX55" i="1"/>
  <c r="BB73" i="1"/>
  <c r="U41" i="1"/>
  <c r="AE51" i="1"/>
  <c r="BL83" i="1"/>
  <c r="AU55" i="1"/>
  <c r="BA56" i="1"/>
  <c r="BF55" i="1"/>
  <c r="BE55" i="1"/>
  <c r="BB55" i="1"/>
  <c r="AV54" i="1"/>
  <c r="R39" i="1"/>
  <c r="AY71" i="1"/>
  <c r="AD49" i="1"/>
  <c r="BK81" i="1"/>
  <c r="BI54" i="1"/>
  <c r="BD54" i="1"/>
  <c r="AX70" i="1"/>
  <c r="Q38" i="1"/>
  <c r="AR57" i="1"/>
  <c r="AS54" i="1"/>
  <c r="AZ57" i="1"/>
  <c r="Y44" i="1"/>
  <c r="BF76" i="1"/>
  <c r="AM55" i="1"/>
  <c r="CY55" i="1" s="1"/>
  <c r="BC55" i="1"/>
  <c r="AY55" i="1"/>
  <c r="W43" i="1"/>
  <c r="BD75" i="1"/>
  <c r="BA72" i="1"/>
  <c r="O37" i="1"/>
  <c r="AV69" i="1"/>
  <c r="AG52" i="1" l="1"/>
  <c r="AF52" i="1" s="1"/>
  <c r="AG53" i="1"/>
  <c r="BL82" i="1"/>
  <c r="AE50" i="1"/>
  <c r="DE54" i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AH54" i="1" s="1"/>
  <c r="AG54" i="1" s="1"/>
  <c r="P36" i="1"/>
  <c r="AW68" i="1"/>
  <c r="AM56" i="1"/>
  <c r="CY56" i="1" s="1"/>
  <c r="BC75" i="1"/>
  <c r="V43" i="1"/>
  <c r="BL55" i="1"/>
  <c r="X44" i="1"/>
  <c r="BE76" i="1"/>
  <c r="P38" i="1"/>
  <c r="AW70" i="1"/>
  <c r="BH80" i="1"/>
  <c r="AA48" i="1"/>
  <c r="BB56" i="1"/>
  <c r="AX56" i="1"/>
  <c r="BJ81" i="1"/>
  <c r="AC49" i="1"/>
  <c r="AU56" i="1"/>
  <c r="V42" i="1"/>
  <c r="BC74" i="1"/>
  <c r="AQ56" i="1"/>
  <c r="BJ56" i="1"/>
  <c r="BH56" i="1"/>
  <c r="BE56" i="1"/>
  <c r="X45" i="1"/>
  <c r="BE77" i="1"/>
  <c r="AR58" i="1"/>
  <c r="BM56" i="1"/>
  <c r="BC56" i="1"/>
  <c r="AZ58" i="1"/>
  <c r="BD55" i="1"/>
  <c r="Q39" i="1"/>
  <c r="AX71" i="1"/>
  <c r="AD51" i="1"/>
  <c r="BK83" i="1"/>
  <c r="BK56" i="1"/>
  <c r="AT56" i="1"/>
  <c r="BN56" i="1"/>
  <c r="AP56" i="1"/>
  <c r="BA57" i="1"/>
  <c r="AN55" i="1"/>
  <c r="CZ55" i="1" s="1"/>
  <c r="DA55" i="1" s="1"/>
  <c r="DB55" i="1" s="1"/>
  <c r="DC55" i="1" s="1"/>
  <c r="DD55" i="1" s="1"/>
  <c r="AY56" i="1"/>
  <c r="BI55" i="1"/>
  <c r="BA73" i="1"/>
  <c r="S40" i="1"/>
  <c r="AZ72" i="1"/>
  <c r="AS55" i="1"/>
  <c r="AV55" i="1"/>
  <c r="BF56" i="1"/>
  <c r="BG56" i="1"/>
  <c r="AO56" i="1"/>
  <c r="Z47" i="1"/>
  <c r="BG79" i="1"/>
  <c r="X46" i="1"/>
  <c r="BE78" i="1"/>
  <c r="AW55" i="1"/>
  <c r="N37" i="1"/>
  <c r="AU69" i="1"/>
  <c r="BM84" i="1" l="1"/>
  <c r="BM85" i="1"/>
  <c r="AF53" i="1"/>
  <c r="AD50" i="1"/>
  <c r="BK82" i="1"/>
  <c r="DE55" i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AH55" i="1" s="1"/>
  <c r="BN87" i="1" s="1"/>
  <c r="BN86" i="1"/>
  <c r="O36" i="1"/>
  <c r="AV68" i="1"/>
  <c r="AF54" i="1"/>
  <c r="BM86" i="1"/>
  <c r="AN56" i="1"/>
  <c r="CZ56" i="1" s="1"/>
  <c r="DA56" i="1" s="1"/>
  <c r="DB56" i="1" s="1"/>
  <c r="DC56" i="1" s="1"/>
  <c r="DD56" i="1" s="1"/>
  <c r="AT57" i="1"/>
  <c r="BD56" i="1"/>
  <c r="AR59" i="1"/>
  <c r="AE52" i="1"/>
  <c r="BL84" i="1"/>
  <c r="AQ57" i="1"/>
  <c r="AX57" i="1"/>
  <c r="W44" i="1"/>
  <c r="BD76" i="1"/>
  <c r="Y47" i="1"/>
  <c r="BF79" i="1"/>
  <c r="BA58" i="1"/>
  <c r="BK57" i="1"/>
  <c r="AZ59" i="1"/>
  <c r="W45" i="1"/>
  <c r="BD77" i="1"/>
  <c r="U42" i="1"/>
  <c r="BB74" i="1"/>
  <c r="BB57" i="1"/>
  <c r="BL56" i="1"/>
  <c r="AO57" i="1"/>
  <c r="AS56" i="1"/>
  <c r="Z48" i="1"/>
  <c r="BG80" i="1"/>
  <c r="BB75" i="1"/>
  <c r="U43" i="1"/>
  <c r="AZ73" i="1"/>
  <c r="S41" i="1"/>
  <c r="BI56" i="1"/>
  <c r="AP57" i="1"/>
  <c r="BJ83" i="1"/>
  <c r="AC51" i="1"/>
  <c r="BC57" i="1"/>
  <c r="BH57" i="1"/>
  <c r="AU57" i="1"/>
  <c r="AV56" i="1"/>
  <c r="AW56" i="1"/>
  <c r="BG57" i="1"/>
  <c r="BI81" i="1"/>
  <c r="AB49" i="1"/>
  <c r="R40" i="1"/>
  <c r="AY72" i="1"/>
  <c r="AY57" i="1"/>
  <c r="BN57" i="1"/>
  <c r="P39" i="1"/>
  <c r="AW71" i="1"/>
  <c r="BM57" i="1"/>
  <c r="BE57" i="1"/>
  <c r="BJ57" i="1"/>
  <c r="O38" i="1"/>
  <c r="AV70" i="1"/>
  <c r="BD78" i="1"/>
  <c r="W46" i="1"/>
  <c r="BF57" i="1"/>
  <c r="AM57" i="1"/>
  <c r="CY57" i="1" s="1"/>
  <c r="M37" i="1"/>
  <c r="AT69" i="1"/>
  <c r="AE53" i="1" l="1"/>
  <c r="BL85" i="1"/>
  <c r="AG55" i="1"/>
  <c r="AF55" i="1" s="1"/>
  <c r="DE56" i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AH56" i="1" s="1"/>
  <c r="AG56" i="1" s="1"/>
  <c r="AC50" i="1"/>
  <c r="BJ82" i="1"/>
  <c r="N36" i="1"/>
  <c r="AU68" i="1"/>
  <c r="BM58" i="1"/>
  <c r="AX72" i="1"/>
  <c r="Q40" i="1"/>
  <c r="N38" i="1"/>
  <c r="AU70" i="1"/>
  <c r="O39" i="1"/>
  <c r="AV71" i="1"/>
  <c r="AY73" i="1"/>
  <c r="R41" i="1"/>
  <c r="BC58" i="1"/>
  <c r="AS57" i="1"/>
  <c r="BA74" i="1"/>
  <c r="BA59" i="1"/>
  <c r="AQ58" i="1"/>
  <c r="AT58" i="1"/>
  <c r="AW57" i="1"/>
  <c r="AX58" i="1"/>
  <c r="BN58" i="1"/>
  <c r="AA49" i="1"/>
  <c r="BH81" i="1"/>
  <c r="BI83" i="1"/>
  <c r="AB51" i="1"/>
  <c r="BA75" i="1"/>
  <c r="BD57" i="1"/>
  <c r="AV57" i="1"/>
  <c r="AO58" i="1"/>
  <c r="V45" i="1"/>
  <c r="BC77" i="1"/>
  <c r="X47" i="1"/>
  <c r="BE79" i="1"/>
  <c r="BK84" i="1"/>
  <c r="AD52" i="1"/>
  <c r="AN57" i="1"/>
  <c r="CZ57" i="1" s="1"/>
  <c r="DA57" i="1" s="1"/>
  <c r="DB57" i="1" s="1"/>
  <c r="DC57" i="1" s="1"/>
  <c r="DD57" i="1" s="1"/>
  <c r="DE57" i="1" s="1"/>
  <c r="DF57" i="1" s="1"/>
  <c r="DG57" i="1" s="1"/>
  <c r="DH57" i="1" s="1"/>
  <c r="BI57" i="1"/>
  <c r="BK58" i="1"/>
  <c r="BJ58" i="1"/>
  <c r="BF58" i="1"/>
  <c r="BE58" i="1"/>
  <c r="AY58" i="1"/>
  <c r="BH58" i="1"/>
  <c r="BB58" i="1"/>
  <c r="AM58" i="1"/>
  <c r="CY58" i="1" s="1"/>
  <c r="V46" i="1"/>
  <c r="BC78" i="1"/>
  <c r="BG58" i="1"/>
  <c r="AU58" i="1"/>
  <c r="AP58" i="1"/>
  <c r="BF80" i="1"/>
  <c r="Y48" i="1"/>
  <c r="BL57" i="1"/>
  <c r="AZ60" i="1"/>
  <c r="BC76" i="1"/>
  <c r="V44" i="1"/>
  <c r="AR60" i="1"/>
  <c r="AE54" i="1"/>
  <c r="BL86" i="1"/>
  <c r="L37" i="1"/>
  <c r="AS69" i="1"/>
  <c r="AD53" i="1" l="1"/>
  <c r="BK85" i="1"/>
  <c r="BM87" i="1"/>
  <c r="BN88" i="1"/>
  <c r="AB50" i="1"/>
  <c r="BI82" i="1"/>
  <c r="DI57" i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M36" i="1"/>
  <c r="AT68" i="1"/>
  <c r="BK86" i="1"/>
  <c r="AD54" i="1"/>
  <c r="BL58" i="1"/>
  <c r="BG59" i="1"/>
  <c r="BJ84" i="1"/>
  <c r="AC52" i="1"/>
  <c r="AR61" i="1"/>
  <c r="U46" i="1"/>
  <c r="BB78" i="1"/>
  <c r="BE80" i="1"/>
  <c r="X48" i="1"/>
  <c r="AS58" i="1"/>
  <c r="AY59" i="1"/>
  <c r="BK59" i="1"/>
  <c r="W47" i="1"/>
  <c r="BD79" i="1"/>
  <c r="BD58" i="1"/>
  <c r="BN59" i="1"/>
  <c r="AQ59" i="1"/>
  <c r="BC59" i="1"/>
  <c r="AE55" i="1"/>
  <c r="BL87" i="1"/>
  <c r="BH59" i="1"/>
  <c r="BG81" i="1"/>
  <c r="Z49" i="1"/>
  <c r="AP59" i="1"/>
  <c r="AZ75" i="1"/>
  <c r="S43" i="1"/>
  <c r="P40" i="1"/>
  <c r="AW72" i="1"/>
  <c r="AM59" i="1"/>
  <c r="CY59" i="1" s="1"/>
  <c r="BE59" i="1"/>
  <c r="BI58" i="1"/>
  <c r="U45" i="1"/>
  <c r="BB77" i="1"/>
  <c r="AX59" i="1"/>
  <c r="BA60" i="1"/>
  <c r="AF56" i="1"/>
  <c r="BM88" i="1"/>
  <c r="AU71" i="1"/>
  <c r="N39" i="1"/>
  <c r="BJ59" i="1"/>
  <c r="AV58" i="1"/>
  <c r="AZ61" i="1"/>
  <c r="AU59" i="1"/>
  <c r="BH83" i="1"/>
  <c r="AA51" i="1"/>
  <c r="AZ74" i="1"/>
  <c r="S42" i="1"/>
  <c r="Q41" i="1"/>
  <c r="AX73" i="1"/>
  <c r="AT59" i="1"/>
  <c r="BB76" i="1"/>
  <c r="U44" i="1"/>
  <c r="BB59" i="1"/>
  <c r="BF59" i="1"/>
  <c r="AN58" i="1"/>
  <c r="CZ58" i="1" s="1"/>
  <c r="DA58" i="1" s="1"/>
  <c r="DB58" i="1" s="1"/>
  <c r="DC58" i="1" s="1"/>
  <c r="DD58" i="1" s="1"/>
  <c r="AO59" i="1"/>
  <c r="AW58" i="1"/>
  <c r="AT70" i="1"/>
  <c r="M38" i="1"/>
  <c r="BM59" i="1"/>
  <c r="K37" i="1"/>
  <c r="AR69" i="1"/>
  <c r="DE58" i="1" l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AH58" i="1" s="1"/>
  <c r="BJ85" i="1"/>
  <c r="AC53" i="1"/>
  <c r="AH57" i="1"/>
  <c r="AA50" i="1"/>
  <c r="BH82" i="1"/>
  <c r="L36" i="1"/>
  <c r="AS68" i="1"/>
  <c r="AS70" i="1"/>
  <c r="L38" i="1"/>
  <c r="BC60" i="1"/>
  <c r="V47" i="1"/>
  <c r="BC79" i="1"/>
  <c r="BD80" i="1"/>
  <c r="W48" i="1"/>
  <c r="BI84" i="1"/>
  <c r="AB52" i="1"/>
  <c r="BF60" i="1"/>
  <c r="BI59" i="1"/>
  <c r="AY74" i="1"/>
  <c r="R42" i="1"/>
  <c r="O40" i="1"/>
  <c r="AV72" i="1"/>
  <c r="BH60" i="1"/>
  <c r="AQ60" i="1"/>
  <c r="BK60" i="1"/>
  <c r="AW59" i="1"/>
  <c r="BB60" i="1"/>
  <c r="AV59" i="1"/>
  <c r="BA61" i="1"/>
  <c r="BE60" i="1"/>
  <c r="R43" i="1"/>
  <c r="AY75" i="1"/>
  <c r="BA78" i="1"/>
  <c r="BG60" i="1"/>
  <c r="AE56" i="1"/>
  <c r="BL88" i="1"/>
  <c r="BA76" i="1"/>
  <c r="Z51" i="1"/>
  <c r="BG83" i="1"/>
  <c r="BN60" i="1"/>
  <c r="AY60" i="1"/>
  <c r="AR62" i="1"/>
  <c r="BL59" i="1"/>
  <c r="AZ62" i="1"/>
  <c r="AO60" i="1"/>
  <c r="AX60" i="1"/>
  <c r="M39" i="1"/>
  <c r="AT71" i="1"/>
  <c r="AM60" i="1"/>
  <c r="CY60" i="1" s="1"/>
  <c r="AP60" i="1"/>
  <c r="BK87" i="1"/>
  <c r="AD55" i="1"/>
  <c r="BD59" i="1"/>
  <c r="AS59" i="1"/>
  <c r="BJ86" i="1"/>
  <c r="AC54" i="1"/>
  <c r="AW73" i="1"/>
  <c r="P41" i="1"/>
  <c r="BJ60" i="1"/>
  <c r="BM60" i="1"/>
  <c r="AN59" i="1"/>
  <c r="CZ59" i="1" s="1"/>
  <c r="DA59" i="1" s="1"/>
  <c r="DB59" i="1" s="1"/>
  <c r="DC59" i="1" s="1"/>
  <c r="DD59" i="1" s="1"/>
  <c r="AT60" i="1"/>
  <c r="AU60" i="1"/>
  <c r="BA77" i="1"/>
  <c r="Y49" i="1"/>
  <c r="BF81" i="1"/>
  <c r="J37" i="1"/>
  <c r="AQ69" i="1"/>
  <c r="EA58" i="1" l="1"/>
  <c r="BI85" i="1"/>
  <c r="AB53" i="1"/>
  <c r="BN89" i="1"/>
  <c r="AG57" i="1"/>
  <c r="DE59" i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AH59" i="1" s="1"/>
  <c r="BN91" i="1" s="1"/>
  <c r="Z50" i="1"/>
  <c r="BG82" i="1"/>
  <c r="K36" i="1"/>
  <c r="AR68" i="1"/>
  <c r="AO61" i="1"/>
  <c r="U47" i="1"/>
  <c r="BB79" i="1"/>
  <c r="AM61" i="1"/>
  <c r="CY61" i="1" s="1"/>
  <c r="AZ63" i="1"/>
  <c r="AY61" i="1"/>
  <c r="AZ76" i="1"/>
  <c r="S44" i="1"/>
  <c r="S45" i="1"/>
  <c r="AZ77" i="1"/>
  <c r="AV60" i="1"/>
  <c r="AU61" i="1"/>
  <c r="BJ61" i="1"/>
  <c r="BD60" i="1"/>
  <c r="AX75" i="1"/>
  <c r="Q43" i="1"/>
  <c r="BB61" i="1"/>
  <c r="BH61" i="1"/>
  <c r="BF61" i="1"/>
  <c r="BC61" i="1"/>
  <c r="BM61" i="1"/>
  <c r="BF83" i="1"/>
  <c r="Y51" i="1"/>
  <c r="S46" i="1"/>
  <c r="AZ78" i="1"/>
  <c r="AV73" i="1"/>
  <c r="O41" i="1"/>
  <c r="AC55" i="1"/>
  <c r="BJ87" i="1"/>
  <c r="L39" i="1"/>
  <c r="AS71" i="1"/>
  <c r="BL60" i="1"/>
  <c r="BN61" i="1"/>
  <c r="AA52" i="1"/>
  <c r="BH84" i="1"/>
  <c r="BI60" i="1"/>
  <c r="AT61" i="1"/>
  <c r="AD56" i="1"/>
  <c r="BK88" i="1"/>
  <c r="BE61" i="1"/>
  <c r="AW60" i="1"/>
  <c r="AU72" i="1"/>
  <c r="N40" i="1"/>
  <c r="AS60" i="1"/>
  <c r="AQ61" i="1"/>
  <c r="AB54" i="1"/>
  <c r="BI86" i="1"/>
  <c r="AX61" i="1"/>
  <c r="AR63" i="1"/>
  <c r="AX74" i="1"/>
  <c r="Q42" i="1"/>
  <c r="BC80" i="1"/>
  <c r="V48" i="1"/>
  <c r="K38" i="1"/>
  <c r="AR70" i="1"/>
  <c r="X49" i="1"/>
  <c r="BE81" i="1"/>
  <c r="AN60" i="1"/>
  <c r="CZ60" i="1" s="1"/>
  <c r="DA60" i="1" s="1"/>
  <c r="DB60" i="1" s="1"/>
  <c r="DC60" i="1" s="1"/>
  <c r="DD60" i="1" s="1"/>
  <c r="AP61" i="1"/>
  <c r="AG58" i="1"/>
  <c r="BN90" i="1"/>
  <c r="BG61" i="1"/>
  <c r="BA62" i="1"/>
  <c r="BK61" i="1"/>
  <c r="I37" i="1"/>
  <c r="AP69" i="1"/>
  <c r="AA53" i="1" l="1"/>
  <c r="BH85" i="1"/>
  <c r="AG59" i="1"/>
  <c r="BM91" i="1" s="1"/>
  <c r="DE60" i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AH60" i="1" s="1"/>
  <c r="BN92" i="1" s="1"/>
  <c r="BM89" i="1"/>
  <c r="AF57" i="1"/>
  <c r="BF82" i="1"/>
  <c r="Y50" i="1"/>
  <c r="J36" i="1"/>
  <c r="AQ68" i="1"/>
  <c r="BE62" i="1"/>
  <c r="BL61" i="1"/>
  <c r="R46" i="1"/>
  <c r="AY78" i="1"/>
  <c r="BF62" i="1"/>
  <c r="BD61" i="1"/>
  <c r="R45" i="1"/>
  <c r="AY77" i="1"/>
  <c r="BM90" i="1"/>
  <c r="AF58" i="1"/>
  <c r="AQ70" i="1"/>
  <c r="J38" i="1"/>
  <c r="I38" i="1" s="1"/>
  <c r="AX62" i="1"/>
  <c r="AC56" i="1"/>
  <c r="BJ88" i="1"/>
  <c r="BI61" i="1"/>
  <c r="AR71" i="1"/>
  <c r="K39" i="1"/>
  <c r="BH62" i="1"/>
  <c r="BJ62" i="1"/>
  <c r="AR65" i="1"/>
  <c r="AR64" i="1"/>
  <c r="X51" i="1"/>
  <c r="BE83" i="1"/>
  <c r="BK62" i="1"/>
  <c r="U48" i="1"/>
  <c r="BB80" i="1"/>
  <c r="AT72" i="1"/>
  <c r="M40" i="1"/>
  <c r="BA79" i="1"/>
  <c r="AS61" i="1"/>
  <c r="AA54" i="1"/>
  <c r="BH86" i="1"/>
  <c r="Z52" i="1"/>
  <c r="BG84" i="1"/>
  <c r="BI87" i="1"/>
  <c r="AB55" i="1"/>
  <c r="BM62" i="1"/>
  <c r="BB62" i="1"/>
  <c r="AU62" i="1"/>
  <c r="AY62" i="1"/>
  <c r="P42" i="1"/>
  <c r="AW74" i="1"/>
  <c r="AU73" i="1"/>
  <c r="N41" i="1"/>
  <c r="P43" i="1"/>
  <c r="AW75" i="1"/>
  <c r="R44" i="1"/>
  <c r="AY76" i="1"/>
  <c r="BA63" i="1"/>
  <c r="BG62" i="1"/>
  <c r="AN61" i="1"/>
  <c r="CZ61" i="1" s="1"/>
  <c r="DA61" i="1" s="1"/>
  <c r="DB61" i="1" s="1"/>
  <c r="DC61" i="1" s="1"/>
  <c r="DD61" i="1" s="1"/>
  <c r="AQ62" i="1"/>
  <c r="AW61" i="1"/>
  <c r="AT62" i="1"/>
  <c r="BN62" i="1"/>
  <c r="BC62" i="1"/>
  <c r="AV61" i="1"/>
  <c r="AZ65" i="1"/>
  <c r="AZ64" i="1"/>
  <c r="W49" i="1"/>
  <c r="BD81" i="1"/>
  <c r="AM62" i="1"/>
  <c r="CY62" i="1" s="1"/>
  <c r="AP62" i="1"/>
  <c r="AO62" i="1"/>
  <c r="H37" i="1"/>
  <c r="AO69" i="1"/>
  <c r="G37" i="1" l="1"/>
  <c r="F37" i="1" s="1"/>
  <c r="AF59" i="1"/>
  <c r="AE59" i="1" s="1"/>
  <c r="DE61" i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AH61" i="1" s="1"/>
  <c r="BN93" i="1" s="1"/>
  <c r="Z53" i="1"/>
  <c r="BG85" i="1"/>
  <c r="EA60" i="1"/>
  <c r="AE57" i="1"/>
  <c r="BL89" i="1"/>
  <c r="AG60" i="1"/>
  <c r="BM92" i="1" s="1"/>
  <c r="X50" i="1"/>
  <c r="BE82" i="1"/>
  <c r="I36" i="1"/>
  <c r="AP68" i="1"/>
  <c r="BC81" i="1"/>
  <c r="V49" i="1"/>
  <c r="BN63" i="1"/>
  <c r="AN62" i="1"/>
  <c r="CZ62" i="1" s="1"/>
  <c r="DA62" i="1" s="1"/>
  <c r="DB62" i="1" s="1"/>
  <c r="DC62" i="1" s="1"/>
  <c r="DD62" i="1" s="1"/>
  <c r="AV75" i="1"/>
  <c r="O43" i="1"/>
  <c r="AY63" i="1"/>
  <c r="AS62" i="1"/>
  <c r="BK63" i="1"/>
  <c r="BH63" i="1"/>
  <c r="AT63" i="1"/>
  <c r="BG63" i="1"/>
  <c r="AU63" i="1"/>
  <c r="BF84" i="1"/>
  <c r="Y52" i="1"/>
  <c r="W51" i="1"/>
  <c r="BD83" i="1"/>
  <c r="AX63" i="1"/>
  <c r="AO63" i="1"/>
  <c r="S47" i="1"/>
  <c r="AZ79" i="1"/>
  <c r="L40" i="1"/>
  <c r="AS72" i="1"/>
  <c r="AP70" i="1"/>
  <c r="AX77" i="1"/>
  <c r="Q45" i="1"/>
  <c r="BL62" i="1"/>
  <c r="M41" i="1"/>
  <c r="AT73" i="1"/>
  <c r="J39" i="1"/>
  <c r="AQ71" i="1"/>
  <c r="AV62" i="1"/>
  <c r="AW62" i="1"/>
  <c r="BA65" i="1"/>
  <c r="BA64" i="1"/>
  <c r="O42" i="1"/>
  <c r="AV74" i="1"/>
  <c r="BB63" i="1"/>
  <c r="BI62" i="1"/>
  <c r="Q46" i="1"/>
  <c r="AX78" i="1"/>
  <c r="AP63" i="1"/>
  <c r="AE58" i="1"/>
  <c r="BL90" i="1"/>
  <c r="BD62" i="1"/>
  <c r="AM63" i="1"/>
  <c r="CY63" i="1" s="1"/>
  <c r="BC63" i="1"/>
  <c r="AQ63" i="1"/>
  <c r="Q44" i="1"/>
  <c r="AX76" i="1"/>
  <c r="BM63" i="1"/>
  <c r="BG86" i="1"/>
  <c r="Z54" i="1"/>
  <c r="BA80" i="1"/>
  <c r="BJ63" i="1"/>
  <c r="AB56" i="1"/>
  <c r="BI88" i="1"/>
  <c r="AA55" i="1"/>
  <c r="BH87" i="1"/>
  <c r="BF63" i="1"/>
  <c r="BE63" i="1"/>
  <c r="AN69" i="1"/>
  <c r="BL91" i="1" l="1"/>
  <c r="AG61" i="1"/>
  <c r="AF61" i="1" s="1"/>
  <c r="AF60" i="1"/>
  <c r="AE60" i="1" s="1"/>
  <c r="Y53" i="1"/>
  <c r="BF85" i="1"/>
  <c r="AD57" i="1"/>
  <c r="BK89" i="1"/>
  <c r="BD82" i="1"/>
  <c r="W50" i="1"/>
  <c r="DE62" i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AH62" i="1" s="1"/>
  <c r="AG62" i="1" s="1"/>
  <c r="H36" i="1"/>
  <c r="AO68" i="1"/>
  <c r="BD63" i="1"/>
  <c r="AW78" i="1"/>
  <c r="P46" i="1"/>
  <c r="N43" i="1"/>
  <c r="AU75" i="1"/>
  <c r="BM65" i="1"/>
  <c r="BM64" i="1"/>
  <c r="L41" i="1"/>
  <c r="AS73" i="1"/>
  <c r="AM64" i="1"/>
  <c r="CY64" i="1" s="1"/>
  <c r="AD58" i="1"/>
  <c r="BK90" i="1"/>
  <c r="AW63" i="1"/>
  <c r="BH88" i="1"/>
  <c r="AA56" i="1"/>
  <c r="K40" i="1"/>
  <c r="AR72" i="1"/>
  <c r="BJ65" i="1"/>
  <c r="BJ64" i="1"/>
  <c r="BL63" i="1"/>
  <c r="V51" i="1"/>
  <c r="BC83" i="1"/>
  <c r="AT65" i="1"/>
  <c r="AT64" i="1"/>
  <c r="BK65" i="1"/>
  <c r="BK64" i="1"/>
  <c r="AN63" i="1"/>
  <c r="CZ63" i="1" s="1"/>
  <c r="DA63" i="1" s="1"/>
  <c r="DB63" i="1" s="1"/>
  <c r="DC63" i="1" s="1"/>
  <c r="DD63" i="1" s="1"/>
  <c r="BH65" i="1"/>
  <c r="BH64" i="1"/>
  <c r="BE65" i="1"/>
  <c r="BE64" i="1"/>
  <c r="P44" i="1"/>
  <c r="AW76" i="1"/>
  <c r="BB65" i="1"/>
  <c r="BB64" i="1"/>
  <c r="AV63" i="1"/>
  <c r="P45" i="1"/>
  <c r="AW77" i="1"/>
  <c r="X52" i="1"/>
  <c r="BE84" i="1"/>
  <c r="R47" i="1"/>
  <c r="AY79" i="1"/>
  <c r="AD59" i="1"/>
  <c r="BK91" i="1"/>
  <c r="AS63" i="1"/>
  <c r="BN65" i="1"/>
  <c r="BN64" i="1"/>
  <c r="AX65" i="1"/>
  <c r="AX64" i="1"/>
  <c r="BF65" i="1"/>
  <c r="BF64" i="1"/>
  <c r="S48" i="1"/>
  <c r="AZ80" i="1"/>
  <c r="Y54" i="1"/>
  <c r="BF86" i="1"/>
  <c r="AP65" i="1"/>
  <c r="AP64" i="1"/>
  <c r="AU74" i="1"/>
  <c r="N42" i="1"/>
  <c r="U49" i="1"/>
  <c r="BB81" i="1"/>
  <c r="BI63" i="1"/>
  <c r="BG65" i="1"/>
  <c r="BG64" i="1"/>
  <c r="AQ65" i="1"/>
  <c r="AQ64" i="1"/>
  <c r="Z55" i="1"/>
  <c r="BG87" i="1"/>
  <c r="BC65" i="1"/>
  <c r="BC64" i="1"/>
  <c r="I39" i="1"/>
  <c r="AP71" i="1"/>
  <c r="H38" i="1"/>
  <c r="AO70" i="1"/>
  <c r="AO65" i="1"/>
  <c r="AO64" i="1"/>
  <c r="AU65" i="1"/>
  <c r="AU64" i="1"/>
  <c r="AY65" i="1"/>
  <c r="AY64" i="1"/>
  <c r="AL69" i="1"/>
  <c r="AM69" i="1"/>
  <c r="G38" i="1" l="1"/>
  <c r="F38" i="1" s="1"/>
  <c r="BM93" i="1"/>
  <c r="BL92" i="1"/>
  <c r="BE85" i="1"/>
  <c r="X53" i="1"/>
  <c r="AC57" i="1"/>
  <c r="BJ89" i="1"/>
  <c r="BN94" i="1"/>
  <c r="DE63" i="1"/>
  <c r="DF63" i="1" s="1"/>
  <c r="DG63" i="1" s="1"/>
  <c r="DH63" i="1" s="1"/>
  <c r="DI63" i="1" s="1"/>
  <c r="DJ63" i="1" s="1"/>
  <c r="DK63" i="1" s="1"/>
  <c r="DL63" i="1" s="1"/>
  <c r="DM63" i="1" s="1"/>
  <c r="DN63" i="1" s="1"/>
  <c r="DO63" i="1" s="1"/>
  <c r="DP63" i="1" s="1"/>
  <c r="DQ63" i="1" s="1"/>
  <c r="DR63" i="1" s="1"/>
  <c r="DS63" i="1" s="1"/>
  <c r="DT63" i="1" s="1"/>
  <c r="DU63" i="1" s="1"/>
  <c r="DV63" i="1" s="1"/>
  <c r="DW63" i="1" s="1"/>
  <c r="DX63" i="1" s="1"/>
  <c r="DY63" i="1" s="1"/>
  <c r="DZ63" i="1" s="1"/>
  <c r="EA63" i="1" s="1"/>
  <c r="AH63" i="1" s="1"/>
  <c r="AG63" i="1" s="1"/>
  <c r="V50" i="1"/>
  <c r="BC82" i="1"/>
  <c r="AN68" i="1"/>
  <c r="AT74" i="1"/>
  <c r="M42" i="1"/>
  <c r="AW65" i="1"/>
  <c r="AW64" i="1"/>
  <c r="AC58" i="1"/>
  <c r="BJ90" i="1"/>
  <c r="AD60" i="1"/>
  <c r="BK92" i="1"/>
  <c r="M43" i="1"/>
  <c r="AT75" i="1"/>
  <c r="AY80" i="1"/>
  <c r="R48" i="1"/>
  <c r="BI65" i="1"/>
  <c r="BI64" i="1"/>
  <c r="BB83" i="1"/>
  <c r="U51" i="1"/>
  <c r="AQ72" i="1"/>
  <c r="J40" i="1"/>
  <c r="AV78" i="1"/>
  <c r="O46" i="1"/>
  <c r="H39" i="1"/>
  <c r="AO71" i="1"/>
  <c r="AS65" i="1"/>
  <c r="AS64" i="1"/>
  <c r="Y55" i="1"/>
  <c r="BF87" i="1"/>
  <c r="BA81" i="1"/>
  <c r="BJ91" i="1"/>
  <c r="AC59" i="1"/>
  <c r="AV77" i="1"/>
  <c r="O45" i="1"/>
  <c r="AE61" i="1"/>
  <c r="BL93" i="1"/>
  <c r="AN65" i="1"/>
  <c r="AN64" i="1"/>
  <c r="CZ64" i="1" s="1"/>
  <c r="DA64" i="1" s="1"/>
  <c r="DB64" i="1" s="1"/>
  <c r="DC64" i="1" s="1"/>
  <c r="DD64" i="1" s="1"/>
  <c r="BG88" i="1"/>
  <c r="Z56" i="1"/>
  <c r="AM65" i="1"/>
  <c r="CY65" i="1" s="1"/>
  <c r="AF62" i="1"/>
  <c r="BM94" i="1"/>
  <c r="BD84" i="1"/>
  <c r="W52" i="1"/>
  <c r="AN70" i="1"/>
  <c r="X54" i="1"/>
  <c r="BE86" i="1"/>
  <c r="Q47" i="1"/>
  <c r="AX79" i="1"/>
  <c r="AV65" i="1"/>
  <c r="AV64" i="1"/>
  <c r="AV76" i="1"/>
  <c r="O44" i="1"/>
  <c r="BL65" i="1"/>
  <c r="BL64" i="1"/>
  <c r="K41" i="1"/>
  <c r="AR73" i="1"/>
  <c r="BD65" i="1"/>
  <c r="BD64" i="1"/>
  <c r="G39" i="1" l="1"/>
  <c r="F39" i="1" s="1"/>
  <c r="BD85" i="1"/>
  <c r="W53" i="1"/>
  <c r="DE64" i="1"/>
  <c r="DF64" i="1" s="1"/>
  <c r="DG64" i="1" s="1"/>
  <c r="DH64" i="1" s="1"/>
  <c r="DI64" i="1" s="1"/>
  <c r="DJ64" i="1" s="1"/>
  <c r="DK64" i="1" s="1"/>
  <c r="DL64" i="1" s="1"/>
  <c r="DM64" i="1" s="1"/>
  <c r="DN64" i="1" s="1"/>
  <c r="DO64" i="1" s="1"/>
  <c r="DP64" i="1" s="1"/>
  <c r="DQ64" i="1" s="1"/>
  <c r="DR64" i="1" s="1"/>
  <c r="DS64" i="1" s="1"/>
  <c r="DT64" i="1" s="1"/>
  <c r="DU64" i="1" s="1"/>
  <c r="DV64" i="1" s="1"/>
  <c r="DW64" i="1" s="1"/>
  <c r="DX64" i="1" s="1"/>
  <c r="DY64" i="1" s="1"/>
  <c r="DZ64" i="1" s="1"/>
  <c r="EA64" i="1" s="1"/>
  <c r="AH64" i="1" s="1"/>
  <c r="AG64" i="1" s="1"/>
  <c r="AB57" i="1"/>
  <c r="BI89" i="1"/>
  <c r="AF63" i="1"/>
  <c r="AE63" i="1" s="1"/>
  <c r="BM95" i="1"/>
  <c r="BN95" i="1"/>
  <c r="BB82" i="1"/>
  <c r="U50" i="1"/>
  <c r="CZ65" i="1"/>
  <c r="DA65" i="1" s="1"/>
  <c r="DB65" i="1" s="1"/>
  <c r="DC65" i="1" s="1"/>
  <c r="DD65" i="1" s="1"/>
  <c r="DE65" i="1" s="1"/>
  <c r="DF65" i="1" s="1"/>
  <c r="DG65" i="1" s="1"/>
  <c r="DH65" i="1" s="1"/>
  <c r="DI65" i="1" s="1"/>
  <c r="DJ65" i="1" s="1"/>
  <c r="DK65" i="1" s="1"/>
  <c r="DL65" i="1" s="1"/>
  <c r="DM65" i="1" s="1"/>
  <c r="DN65" i="1" s="1"/>
  <c r="DO65" i="1" s="1"/>
  <c r="DP65" i="1" s="1"/>
  <c r="DQ65" i="1" s="1"/>
  <c r="DR65" i="1" s="1"/>
  <c r="DS65" i="1" s="1"/>
  <c r="DT65" i="1" s="1"/>
  <c r="DU65" i="1" s="1"/>
  <c r="DV65" i="1" s="1"/>
  <c r="DW65" i="1" s="1"/>
  <c r="DX65" i="1" s="1"/>
  <c r="DY65" i="1" s="1"/>
  <c r="DZ65" i="1" s="1"/>
  <c r="EA65" i="1" s="1"/>
  <c r="AL68" i="1"/>
  <c r="AM68" i="1"/>
  <c r="AU76" i="1"/>
  <c r="N44" i="1"/>
  <c r="I40" i="1"/>
  <c r="AP72" i="1"/>
  <c r="AC60" i="1"/>
  <c r="BJ92" i="1"/>
  <c r="X55" i="1"/>
  <c r="BE87" i="1"/>
  <c r="AU77" i="1"/>
  <c r="N45" i="1"/>
  <c r="Q48" i="1"/>
  <c r="AX80" i="1"/>
  <c r="BI90" i="1"/>
  <c r="AB58" i="1"/>
  <c r="BD86" i="1"/>
  <c r="W54" i="1"/>
  <c r="AD61" i="1"/>
  <c r="BK93" i="1"/>
  <c r="Y56" i="1"/>
  <c r="BF88" i="1"/>
  <c r="AB59" i="1"/>
  <c r="BI91" i="1"/>
  <c r="J41" i="1"/>
  <c r="AQ73" i="1"/>
  <c r="AW79" i="1"/>
  <c r="P47" i="1"/>
  <c r="AL70" i="1"/>
  <c r="AM70" i="1"/>
  <c r="AN71" i="1"/>
  <c r="L43" i="1"/>
  <c r="AS75" i="1"/>
  <c r="AE62" i="1"/>
  <c r="BL94" i="1"/>
  <c r="AS74" i="1"/>
  <c r="L42" i="1"/>
  <c r="V52" i="1"/>
  <c r="BC84" i="1"/>
  <c r="AZ81" i="1"/>
  <c r="S49" i="1"/>
  <c r="N46" i="1"/>
  <c r="AU78" i="1"/>
  <c r="BA83" i="1"/>
  <c r="V53" i="1" l="1"/>
  <c r="BC85" i="1"/>
  <c r="BN96" i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A57" i="1"/>
  <c r="BH89" i="1"/>
  <c r="BL95" i="1"/>
  <c r="BA82" i="1"/>
  <c r="AH65" i="1"/>
  <c r="BN97" i="1" s="1"/>
  <c r="AR75" i="1"/>
  <c r="K43" i="1"/>
  <c r="BD87" i="1"/>
  <c r="W55" i="1"/>
  <c r="AA58" i="1"/>
  <c r="BH90" i="1"/>
  <c r="AP73" i="1"/>
  <c r="I41" i="1"/>
  <c r="AC61" i="1"/>
  <c r="BJ93" i="1"/>
  <c r="BI92" i="1"/>
  <c r="AB60" i="1"/>
  <c r="O47" i="1"/>
  <c r="AV79" i="1"/>
  <c r="AD63" i="1"/>
  <c r="BK95" i="1"/>
  <c r="AL71" i="1"/>
  <c r="AM71" i="1"/>
  <c r="AW80" i="1"/>
  <c r="P48" i="1"/>
  <c r="AO72" i="1"/>
  <c r="H40" i="1"/>
  <c r="BB84" i="1"/>
  <c r="U52" i="1"/>
  <c r="X56" i="1"/>
  <c r="BE88" i="1"/>
  <c r="S51" i="1"/>
  <c r="AZ83" i="1"/>
  <c r="AF64" i="1"/>
  <c r="BM96" i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AY81" i="1"/>
  <c r="R49" i="1"/>
  <c r="M45" i="1"/>
  <c r="AT77" i="1"/>
  <c r="M44" i="1"/>
  <c r="AT76" i="1"/>
  <c r="K42" i="1"/>
  <c r="AR74" i="1"/>
  <c r="V54" i="1"/>
  <c r="BC86" i="1"/>
  <c r="AT78" i="1"/>
  <c r="M46" i="1"/>
  <c r="AD62" i="1"/>
  <c r="BK94" i="1"/>
  <c r="BH91" i="1"/>
  <c r="AA59" i="1"/>
  <c r="G40" i="1" l="1"/>
  <c r="F40" i="1" s="1"/>
  <c r="BB85" i="1"/>
  <c r="U53" i="1"/>
  <c r="DZ68" i="1"/>
  <c r="AG65" i="1"/>
  <c r="BM97" i="1" s="1"/>
  <c r="Z57" i="1"/>
  <c r="BG89" i="1"/>
  <c r="S50" i="1"/>
  <c r="AZ82" i="1"/>
  <c r="Z58" i="1"/>
  <c r="BG90" i="1"/>
  <c r="BA84" i="1"/>
  <c r="BG91" i="1"/>
  <c r="Z59" i="1"/>
  <c r="N47" i="1"/>
  <c r="AU79" i="1"/>
  <c r="AQ74" i="1"/>
  <c r="J42" i="1"/>
  <c r="AN72" i="1"/>
  <c r="AA60" i="1"/>
  <c r="BH92" i="1"/>
  <c r="V55" i="1"/>
  <c r="BC87" i="1"/>
  <c r="DY68" i="1"/>
  <c r="AG68" i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S78" i="1"/>
  <c r="L46" i="1"/>
  <c r="R51" i="1"/>
  <c r="AY83" i="1"/>
  <c r="AX81" i="1"/>
  <c r="Q49" i="1"/>
  <c r="H41" i="1"/>
  <c r="AO73" i="1"/>
  <c r="AE64" i="1"/>
  <c r="BL96" i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AC62" i="1"/>
  <c r="BJ94" i="1"/>
  <c r="O48" i="1"/>
  <c r="AV80" i="1"/>
  <c r="AQ75" i="1"/>
  <c r="J43" i="1"/>
  <c r="U54" i="1"/>
  <c r="BB86" i="1"/>
  <c r="L44" i="1"/>
  <c r="AS76" i="1"/>
  <c r="AS77" i="1"/>
  <c r="L45" i="1"/>
  <c r="W56" i="1"/>
  <c r="BD88" i="1"/>
  <c r="AC63" i="1"/>
  <c r="BJ95" i="1"/>
  <c r="AB61" i="1"/>
  <c r="BI93" i="1"/>
  <c r="G41" i="1" l="1"/>
  <c r="F41" i="1" s="1"/>
  <c r="AF65" i="1"/>
  <c r="BL97" i="1" s="1"/>
  <c r="BA85" i="1"/>
  <c r="BF89" i="1"/>
  <c r="Y57" i="1"/>
  <c r="AY82" i="1"/>
  <c r="R50" i="1"/>
  <c r="AB62" i="1"/>
  <c r="BI94" i="1"/>
  <c r="BA86" i="1"/>
  <c r="AN73" i="1"/>
  <c r="Y59" i="1"/>
  <c r="BF91" i="1"/>
  <c r="M47" i="1"/>
  <c r="AT79" i="1"/>
  <c r="AA61" i="1"/>
  <c r="BH93" i="1"/>
  <c r="K46" i="1"/>
  <c r="AR78" i="1"/>
  <c r="AW81" i="1"/>
  <c r="P49" i="1"/>
  <c r="BG92" i="1"/>
  <c r="Z60" i="1"/>
  <c r="Q51" i="1"/>
  <c r="AX83" i="1"/>
  <c r="K44" i="1"/>
  <c r="AR76" i="1"/>
  <c r="AL72" i="1"/>
  <c r="AM72" i="1"/>
  <c r="S52" i="1"/>
  <c r="AZ84" i="1"/>
  <c r="BC88" i="1"/>
  <c r="V56" i="1"/>
  <c r="K45" i="1"/>
  <c r="AR77" i="1"/>
  <c r="AD64" i="1"/>
  <c r="BK96" i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I43" i="1"/>
  <c r="AP75" i="1"/>
  <c r="U55" i="1"/>
  <c r="BB87" i="1"/>
  <c r="AB63" i="1"/>
  <c r="BI95" i="1"/>
  <c r="AU80" i="1"/>
  <c r="N48" i="1"/>
  <c r="I42" i="1"/>
  <c r="AP74" i="1"/>
  <c r="AF68" i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DX68" i="1"/>
  <c r="BF90" i="1"/>
  <c r="Y58" i="1"/>
  <c r="AE65" i="1" l="1"/>
  <c r="BK97" i="1" s="1"/>
  <c r="AZ85" i="1"/>
  <c r="S53" i="1"/>
  <c r="X57" i="1"/>
  <c r="BE89" i="1"/>
  <c r="AX82" i="1"/>
  <c r="Q50" i="1"/>
  <c r="O49" i="1"/>
  <c r="AV81" i="1"/>
  <c r="H42" i="1"/>
  <c r="AO74" i="1"/>
  <c r="U56" i="1"/>
  <c r="BB88" i="1"/>
  <c r="BA87" i="1"/>
  <c r="AO75" i="1"/>
  <c r="H43" i="1"/>
  <c r="AQ78" i="1"/>
  <c r="J46" i="1"/>
  <c r="AL73" i="1"/>
  <c r="AM73" i="1"/>
  <c r="DW68" i="1"/>
  <c r="AE68" i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X59" i="1"/>
  <c r="BE91" i="1"/>
  <c r="M48" i="1"/>
  <c r="AT80" i="1"/>
  <c r="AY84" i="1"/>
  <c r="R52" i="1"/>
  <c r="Z61" i="1"/>
  <c r="BG93" i="1"/>
  <c r="S54" i="1"/>
  <c r="AZ86" i="1"/>
  <c r="X58" i="1"/>
  <c r="BE90" i="1"/>
  <c r="AW83" i="1"/>
  <c r="P51" i="1"/>
  <c r="AC64" i="1"/>
  <c r="BJ96" i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AA63" i="1"/>
  <c r="BH95" i="1"/>
  <c r="Y60" i="1"/>
  <c r="BF92" i="1"/>
  <c r="J45" i="1"/>
  <c r="AQ77" i="1"/>
  <c r="J44" i="1"/>
  <c r="AQ76" i="1"/>
  <c r="AS79" i="1"/>
  <c r="L47" i="1"/>
  <c r="AA62" i="1"/>
  <c r="BH94" i="1"/>
  <c r="G43" i="1" l="1"/>
  <c r="F43" i="1" s="1"/>
  <c r="G42" i="1"/>
  <c r="F42" i="1" s="1"/>
  <c r="AD65" i="1"/>
  <c r="AC65" i="1" s="1"/>
  <c r="R53" i="1"/>
  <c r="AY85" i="1"/>
  <c r="W57" i="1"/>
  <c r="BD89" i="1"/>
  <c r="AW82" i="1"/>
  <c r="P50" i="1"/>
  <c r="I44" i="1"/>
  <c r="AP76" i="1"/>
  <c r="R54" i="1"/>
  <c r="AY86" i="1"/>
  <c r="I46" i="1"/>
  <c r="AP78" i="1"/>
  <c r="L48" i="1"/>
  <c r="AS80" i="1"/>
  <c r="AN74" i="1"/>
  <c r="DV68" i="1"/>
  <c r="AD68" i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Y61" i="1"/>
  <c r="BF93" i="1"/>
  <c r="O51" i="1"/>
  <c r="AV83" i="1"/>
  <c r="AN75" i="1"/>
  <c r="I45" i="1"/>
  <c r="AP77" i="1"/>
  <c r="AR79" i="1"/>
  <c r="K47" i="1"/>
  <c r="BA88" i="1"/>
  <c r="AB64" i="1"/>
  <c r="BI96" i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W59" i="1"/>
  <c r="BD91" i="1"/>
  <c r="Z62" i="1"/>
  <c r="BG94" i="1"/>
  <c r="BE92" i="1"/>
  <c r="X60" i="1"/>
  <c r="Q52" i="1"/>
  <c r="AX84" i="1"/>
  <c r="Z63" i="1"/>
  <c r="BG95" i="1"/>
  <c r="W58" i="1"/>
  <c r="BD90" i="1"/>
  <c r="AZ87" i="1"/>
  <c r="S55" i="1"/>
  <c r="N49" i="1"/>
  <c r="AU81" i="1"/>
  <c r="BJ97" i="1" l="1"/>
  <c r="AX85" i="1"/>
  <c r="Q53" i="1"/>
  <c r="BC89" i="1"/>
  <c r="V57" i="1"/>
  <c r="O50" i="1"/>
  <c r="AV82" i="1"/>
  <c r="AO77" i="1"/>
  <c r="H45" i="1"/>
  <c r="Q54" i="1"/>
  <c r="AX86" i="1"/>
  <c r="AL75" i="1"/>
  <c r="AM75" i="1"/>
  <c r="AL74" i="1"/>
  <c r="AM74" i="1"/>
  <c r="S56" i="1"/>
  <c r="AZ88" i="1"/>
  <c r="AO78" i="1"/>
  <c r="H46" i="1"/>
  <c r="Y62" i="1"/>
  <c r="BF94" i="1"/>
  <c r="BC91" i="1"/>
  <c r="V59" i="1"/>
  <c r="H44" i="1"/>
  <c r="AO76" i="1"/>
  <c r="X61" i="1"/>
  <c r="BE93" i="1"/>
  <c r="V58" i="1"/>
  <c r="BC90" i="1"/>
  <c r="AQ79" i="1"/>
  <c r="J47" i="1"/>
  <c r="Y63" i="1"/>
  <c r="BF95" i="1"/>
  <c r="BI97" i="1"/>
  <c r="AB65" i="1"/>
  <c r="DU68" i="1"/>
  <c r="AC68" i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T81" i="1"/>
  <c r="M49" i="1"/>
  <c r="P52" i="1"/>
  <c r="AW84" i="1"/>
  <c r="AA64" i="1"/>
  <c r="BH96" i="1"/>
  <c r="DT96" i="1" s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R55" i="1"/>
  <c r="AY87" i="1"/>
  <c r="W60" i="1"/>
  <c r="BD92" i="1"/>
  <c r="AU83" i="1"/>
  <c r="N51" i="1"/>
  <c r="K48" i="1"/>
  <c r="AR80" i="1"/>
  <c r="G45" i="1" l="1"/>
  <c r="F45" i="1" s="1"/>
  <c r="G44" i="1"/>
  <c r="F44" i="1" s="1"/>
  <c r="G46" i="1"/>
  <c r="F46" i="1" s="1"/>
  <c r="P53" i="1"/>
  <c r="AW85" i="1"/>
  <c r="BB89" i="1"/>
  <c r="U57" i="1"/>
  <c r="AU82" i="1"/>
  <c r="N50" i="1"/>
  <c r="X63" i="1"/>
  <c r="BE95" i="1"/>
  <c r="AN77" i="1"/>
  <c r="AN76" i="1"/>
  <c r="L49" i="1"/>
  <c r="AS81" i="1"/>
  <c r="Q55" i="1"/>
  <c r="AX87" i="1"/>
  <c r="O52" i="1"/>
  <c r="AV84" i="1"/>
  <c r="X62" i="1"/>
  <c r="BE94" i="1"/>
  <c r="AP79" i="1"/>
  <c r="I47" i="1"/>
  <c r="AN78" i="1"/>
  <c r="U58" i="1"/>
  <c r="BB90" i="1"/>
  <c r="AA65" i="1"/>
  <c r="BH97" i="1"/>
  <c r="AB68" i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DT68" i="1"/>
  <c r="U59" i="1"/>
  <c r="BB91" i="1"/>
  <c r="AQ80" i="1"/>
  <c r="J48" i="1"/>
  <c r="Z64" i="1"/>
  <c r="BG96" i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W61" i="1"/>
  <c r="BD93" i="1"/>
  <c r="V60" i="1"/>
  <c r="BC92" i="1"/>
  <c r="AW86" i="1"/>
  <c r="P54" i="1"/>
  <c r="AY88" i="1"/>
  <c r="R56" i="1"/>
  <c r="AT83" i="1"/>
  <c r="M51" i="1"/>
  <c r="O53" i="1" l="1"/>
  <c r="AV85" i="1"/>
  <c r="BA89" i="1"/>
  <c r="M50" i="1"/>
  <c r="AT82" i="1"/>
  <c r="Y64" i="1"/>
  <c r="BF96" i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AL76" i="1"/>
  <c r="AM76" i="1"/>
  <c r="DS68" i="1"/>
  <c r="AA68" i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L77" i="1"/>
  <c r="AM77" i="1"/>
  <c r="Q56" i="1"/>
  <c r="AX88" i="1"/>
  <c r="W62" i="1"/>
  <c r="BD94" i="1"/>
  <c r="BB92" i="1"/>
  <c r="U60" i="1"/>
  <c r="BA90" i="1"/>
  <c r="H47" i="1"/>
  <c r="AO79" i="1"/>
  <c r="AS83" i="1"/>
  <c r="L51" i="1"/>
  <c r="V61" i="1"/>
  <c r="BC93" i="1"/>
  <c r="AR81" i="1"/>
  <c r="K49" i="1"/>
  <c r="BG97" i="1"/>
  <c r="Z65" i="1"/>
  <c r="I48" i="1"/>
  <c r="AP80" i="1"/>
  <c r="N52" i="1"/>
  <c r="AU84" i="1"/>
  <c r="AV86" i="1"/>
  <c r="O54" i="1"/>
  <c r="BA91" i="1"/>
  <c r="AL78" i="1"/>
  <c r="AM78" i="1"/>
  <c r="P55" i="1"/>
  <c r="AW87" i="1"/>
  <c r="W63" i="1"/>
  <c r="BD95" i="1"/>
  <c r="G47" i="1" l="1"/>
  <c r="F47" i="1" s="1"/>
  <c r="AU85" i="1"/>
  <c r="N53" i="1"/>
  <c r="S57" i="1"/>
  <c r="AZ89" i="1"/>
  <c r="L50" i="1"/>
  <c r="AS82" i="1"/>
  <c r="S59" i="1"/>
  <c r="AZ91" i="1"/>
  <c r="AO80" i="1"/>
  <c r="H48" i="1"/>
  <c r="Y65" i="1"/>
  <c r="BF97" i="1"/>
  <c r="AN79" i="1"/>
  <c r="AW88" i="1"/>
  <c r="P56" i="1"/>
  <c r="V63" i="1"/>
  <c r="BC95" i="1"/>
  <c r="V62" i="1"/>
  <c r="BC94" i="1"/>
  <c r="X64" i="1"/>
  <c r="BE96" i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R68" i="1"/>
  <c r="Z68" i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U61" i="1"/>
  <c r="BB93" i="1"/>
  <c r="AZ90" i="1"/>
  <c r="S58" i="1"/>
  <c r="N54" i="1"/>
  <c r="AU86" i="1"/>
  <c r="J49" i="1"/>
  <c r="AQ81" i="1"/>
  <c r="O55" i="1"/>
  <c r="AV87" i="1"/>
  <c r="AT84" i="1"/>
  <c r="M52" i="1"/>
  <c r="AR83" i="1"/>
  <c r="K51" i="1"/>
  <c r="BA92" i="1"/>
  <c r="G48" i="1" l="1"/>
  <c r="F48" i="1" s="1"/>
  <c r="AT85" i="1"/>
  <c r="M53" i="1"/>
  <c r="AY89" i="1"/>
  <c r="R57" i="1"/>
  <c r="AR82" i="1"/>
  <c r="K50" i="1"/>
  <c r="I49" i="1"/>
  <c r="AP81" i="1"/>
  <c r="L52" i="1"/>
  <c r="AS84" i="1"/>
  <c r="U62" i="1"/>
  <c r="BB94" i="1"/>
  <c r="AL79" i="1"/>
  <c r="AM79" i="1"/>
  <c r="BA93" i="1"/>
  <c r="Y68" i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DQ68" i="1"/>
  <c r="AZ92" i="1"/>
  <c r="S60" i="1"/>
  <c r="AN80" i="1"/>
  <c r="W64" i="1"/>
  <c r="BD96" i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AY90" i="1"/>
  <c r="R58" i="1"/>
  <c r="O56" i="1"/>
  <c r="AV88" i="1"/>
  <c r="J51" i="1"/>
  <c r="AQ83" i="1"/>
  <c r="AT86" i="1"/>
  <c r="M54" i="1"/>
  <c r="X65" i="1"/>
  <c r="BE97" i="1"/>
  <c r="U63" i="1"/>
  <c r="BB95" i="1"/>
  <c r="AU87" i="1"/>
  <c r="N55" i="1"/>
  <c r="R59" i="1"/>
  <c r="AY91" i="1"/>
  <c r="L53" i="1" l="1"/>
  <c r="AS85" i="1"/>
  <c r="Q57" i="1"/>
  <c r="AX89" i="1"/>
  <c r="J50" i="1"/>
  <c r="AQ82" i="1"/>
  <c r="AX91" i="1"/>
  <c r="Q59" i="1"/>
  <c r="W65" i="1"/>
  <c r="BD97" i="1"/>
  <c r="Q58" i="1"/>
  <c r="AX90" i="1"/>
  <c r="L54" i="1"/>
  <c r="AS86" i="1"/>
  <c r="V64" i="1"/>
  <c r="BC96" i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AR84" i="1"/>
  <c r="K52" i="1"/>
  <c r="R60" i="1"/>
  <c r="AY92" i="1"/>
  <c r="BA94" i="1"/>
  <c r="M55" i="1"/>
  <c r="AT87" i="1"/>
  <c r="AL80" i="1"/>
  <c r="AM80" i="1"/>
  <c r="DP68" i="1"/>
  <c r="X68" i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AP83" i="1"/>
  <c r="I51" i="1"/>
  <c r="BA95" i="1"/>
  <c r="N56" i="1"/>
  <c r="AU88" i="1"/>
  <c r="S61" i="1"/>
  <c r="AZ93" i="1"/>
  <c r="H49" i="1"/>
  <c r="AO81" i="1"/>
  <c r="G49" i="1" l="1"/>
  <c r="F49" i="1" s="1"/>
  <c r="AR85" i="1"/>
  <c r="K53" i="1"/>
  <c r="AW89" i="1"/>
  <c r="P57" i="1"/>
  <c r="AP82" i="1"/>
  <c r="I50" i="1"/>
  <c r="H51" i="1"/>
  <c r="AO83" i="1"/>
  <c r="DO68" i="1"/>
  <c r="W68" i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R61" i="1"/>
  <c r="AY93" i="1"/>
  <c r="AS87" i="1"/>
  <c r="L55" i="1"/>
  <c r="BC97" i="1"/>
  <c r="V65" i="1"/>
  <c r="AN81" i="1"/>
  <c r="U64" i="1"/>
  <c r="BB96" i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M56" i="1"/>
  <c r="AT88" i="1"/>
  <c r="S62" i="1"/>
  <c r="AZ94" i="1"/>
  <c r="K54" i="1"/>
  <c r="AR86" i="1"/>
  <c r="P59" i="1"/>
  <c r="AW91" i="1"/>
  <c r="S63" i="1"/>
  <c r="AZ95" i="1"/>
  <c r="AX92" i="1"/>
  <c r="Q60" i="1"/>
  <c r="J52" i="1"/>
  <c r="AQ84" i="1"/>
  <c r="AW90" i="1"/>
  <c r="P58" i="1"/>
  <c r="G51" i="1" l="1"/>
  <c r="F51" i="1" s="1"/>
  <c r="AQ85" i="1"/>
  <c r="J53" i="1"/>
  <c r="AV89" i="1"/>
  <c r="O57" i="1"/>
  <c r="AO82" i="1"/>
  <c r="H50" i="1"/>
  <c r="G50" i="1" s="1"/>
  <c r="AW92" i="1"/>
  <c r="P60" i="1"/>
  <c r="AR87" i="1"/>
  <c r="K55" i="1"/>
  <c r="R62" i="1"/>
  <c r="AY94" i="1"/>
  <c r="L56" i="1"/>
  <c r="AS88" i="1"/>
  <c r="Q61" i="1"/>
  <c r="AX93" i="1"/>
  <c r="R63" i="1"/>
  <c r="AY95" i="1"/>
  <c r="O58" i="1"/>
  <c r="AV90" i="1"/>
  <c r="AL81" i="1"/>
  <c r="AM81" i="1"/>
  <c r="AV91" i="1"/>
  <c r="O59" i="1"/>
  <c r="U65" i="1"/>
  <c r="BB97" i="1"/>
  <c r="DN68" i="1"/>
  <c r="V68" i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AP84" i="1"/>
  <c r="I52" i="1"/>
  <c r="AQ86" i="1"/>
  <c r="J54" i="1"/>
  <c r="BA96" i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AN83" i="1"/>
  <c r="AP85" i="1" l="1"/>
  <c r="I53" i="1"/>
  <c r="N57" i="1"/>
  <c r="AU89" i="1"/>
  <c r="AN82" i="1"/>
  <c r="Q62" i="1"/>
  <c r="AX94" i="1"/>
  <c r="H52" i="1"/>
  <c r="AO84" i="1"/>
  <c r="K56" i="1"/>
  <c r="AR88" i="1"/>
  <c r="AM83" i="1"/>
  <c r="AL83" i="1"/>
  <c r="N58" i="1"/>
  <c r="AU90" i="1"/>
  <c r="AQ87" i="1"/>
  <c r="J55" i="1"/>
  <c r="U68" i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DM68" i="1"/>
  <c r="S64" i="1"/>
  <c r="AZ96" i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Q63" i="1"/>
  <c r="AX95" i="1"/>
  <c r="O60" i="1"/>
  <c r="AV92" i="1"/>
  <c r="BA97" i="1"/>
  <c r="I54" i="1"/>
  <c r="AP86" i="1"/>
  <c r="N59" i="1"/>
  <c r="AU91" i="1"/>
  <c r="P61" i="1"/>
  <c r="AW93" i="1"/>
  <c r="F52" i="1" l="1"/>
  <c r="G52" i="1"/>
  <c r="AO85" i="1"/>
  <c r="H53" i="1"/>
  <c r="G53" i="1" s="1"/>
  <c r="AT89" i="1"/>
  <c r="M57" i="1"/>
  <c r="F50" i="1"/>
  <c r="AL82" i="1" s="1"/>
  <c r="AM82" i="1"/>
  <c r="O61" i="1"/>
  <c r="AV93" i="1"/>
  <c r="J56" i="1"/>
  <c r="AQ88" i="1"/>
  <c r="M58" i="1"/>
  <c r="AT90" i="1"/>
  <c r="AU92" i="1"/>
  <c r="N60" i="1"/>
  <c r="DL68" i="1"/>
  <c r="T68" i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H54" i="1"/>
  <c r="AO86" i="1"/>
  <c r="AP87" i="1"/>
  <c r="I55" i="1"/>
  <c r="M59" i="1"/>
  <c r="AT91" i="1"/>
  <c r="P63" i="1"/>
  <c r="AW95" i="1"/>
  <c r="AN84" i="1"/>
  <c r="R64" i="1"/>
  <c r="AY96" i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S65" i="1"/>
  <c r="AZ97" i="1"/>
  <c r="P62" i="1"/>
  <c r="AW94" i="1"/>
  <c r="G54" i="1" l="1"/>
  <c r="F54" i="1" s="1"/>
  <c r="AN85" i="1"/>
  <c r="AS89" i="1"/>
  <c r="L57" i="1"/>
  <c r="AL84" i="1"/>
  <c r="AM84" i="1"/>
  <c r="O62" i="1"/>
  <c r="AV94" i="1"/>
  <c r="L58" i="1"/>
  <c r="AS90" i="1"/>
  <c r="Q64" i="1"/>
  <c r="AX96" i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O63" i="1"/>
  <c r="AV95" i="1"/>
  <c r="AN86" i="1"/>
  <c r="AP88" i="1"/>
  <c r="I56" i="1"/>
  <c r="R65" i="1"/>
  <c r="AY97" i="1"/>
  <c r="AS91" i="1"/>
  <c r="L59" i="1"/>
  <c r="DK68" i="1"/>
  <c r="S68" i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H55" i="1"/>
  <c r="AO87" i="1"/>
  <c r="M60" i="1"/>
  <c r="AT92" i="1"/>
  <c r="N61" i="1"/>
  <c r="AU93" i="1"/>
  <c r="G55" i="1" l="1"/>
  <c r="F55" i="1" s="1"/>
  <c r="F53" i="1"/>
  <c r="AL85" i="1" s="1"/>
  <c r="AM85" i="1"/>
  <c r="AR89" i="1"/>
  <c r="K57" i="1"/>
  <c r="DJ68" i="1"/>
  <c r="R68" i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P64" i="1"/>
  <c r="AW96" i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AR90" i="1"/>
  <c r="K58" i="1"/>
  <c r="N62" i="1"/>
  <c r="AU94" i="1"/>
  <c r="AM86" i="1"/>
  <c r="AL86" i="1"/>
  <c r="AR91" i="1"/>
  <c r="K59" i="1"/>
  <c r="M61" i="1"/>
  <c r="AT93" i="1"/>
  <c r="N63" i="1"/>
  <c r="AU95" i="1"/>
  <c r="Q65" i="1"/>
  <c r="AX97" i="1"/>
  <c r="AN87" i="1"/>
  <c r="AS92" i="1"/>
  <c r="L60" i="1"/>
  <c r="H56" i="1"/>
  <c r="AO88" i="1"/>
  <c r="G56" i="1" l="1"/>
  <c r="F56" i="1" s="1"/>
  <c r="AQ89" i="1"/>
  <c r="J57" i="1"/>
  <c r="M62" i="1"/>
  <c r="AT94" i="1"/>
  <c r="AL87" i="1"/>
  <c r="AM87" i="1"/>
  <c r="AQ91" i="1"/>
  <c r="J59" i="1"/>
  <c r="DI68" i="1"/>
  <c r="Q68" i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O64" i="1"/>
  <c r="AV96" i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M63" i="1"/>
  <c r="AT95" i="1"/>
  <c r="J58" i="1"/>
  <c r="AQ90" i="1"/>
  <c r="L61" i="1"/>
  <c r="AS93" i="1"/>
  <c r="AN88" i="1"/>
  <c r="AR92" i="1"/>
  <c r="K60" i="1"/>
  <c r="AW97" i="1"/>
  <c r="P65" i="1"/>
  <c r="AP89" i="1" l="1"/>
  <c r="I57" i="1"/>
  <c r="J60" i="1"/>
  <c r="AQ92" i="1"/>
  <c r="AP90" i="1"/>
  <c r="I58" i="1"/>
  <c r="I59" i="1"/>
  <c r="AP91" i="1"/>
  <c r="K61" i="1"/>
  <c r="AR93" i="1"/>
  <c r="AL88" i="1"/>
  <c r="AM88" i="1"/>
  <c r="L63" i="1"/>
  <c r="AS95" i="1"/>
  <c r="P68" i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DH68" i="1"/>
  <c r="O65" i="1"/>
  <c r="AV97" i="1"/>
  <c r="N64" i="1"/>
  <c r="AU96" i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L62" i="1"/>
  <c r="AS94" i="1"/>
  <c r="H57" i="1" l="1"/>
  <c r="G57" i="1" s="1"/>
  <c r="AO89" i="1"/>
  <c r="J61" i="1"/>
  <c r="AQ93" i="1"/>
  <c r="H59" i="1"/>
  <c r="AO91" i="1"/>
  <c r="H58" i="1"/>
  <c r="AO90" i="1"/>
  <c r="K62" i="1"/>
  <c r="AR94" i="1"/>
  <c r="M64" i="1"/>
  <c r="AT96" i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AP92" i="1"/>
  <c r="I60" i="1"/>
  <c r="DG68" i="1"/>
  <c r="O68" i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K63" i="1"/>
  <c r="AR95" i="1"/>
  <c r="AU97" i="1"/>
  <c r="N65" i="1"/>
  <c r="G58" i="1" l="1"/>
  <c r="F58" i="1" s="1"/>
  <c r="G59" i="1"/>
  <c r="F59" i="1" s="1"/>
  <c r="AN89" i="1"/>
  <c r="H60" i="1"/>
  <c r="AO92" i="1"/>
  <c r="AN90" i="1"/>
  <c r="AT97" i="1"/>
  <c r="M65" i="1"/>
  <c r="AN91" i="1"/>
  <c r="N68" i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DF68" i="1"/>
  <c r="L64" i="1"/>
  <c r="AS96" i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J63" i="1"/>
  <c r="AQ95" i="1"/>
  <c r="J62" i="1"/>
  <c r="AQ94" i="1"/>
  <c r="AP93" i="1"/>
  <c r="I61" i="1"/>
  <c r="G60" i="1" l="1"/>
  <c r="F60" i="1" s="1"/>
  <c r="F57" i="1"/>
  <c r="AL89" i="1" s="1"/>
  <c r="AM89" i="1"/>
  <c r="AM91" i="1"/>
  <c r="AL91" i="1"/>
  <c r="L65" i="1"/>
  <c r="AS97" i="1"/>
  <c r="I63" i="1"/>
  <c r="AP95" i="1"/>
  <c r="AL90" i="1"/>
  <c r="AM90" i="1"/>
  <c r="DE68" i="1"/>
  <c r="M68" i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H61" i="1"/>
  <c r="AO93" i="1"/>
  <c r="K64" i="1"/>
  <c r="AR96" i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I62" i="1"/>
  <c r="AP94" i="1"/>
  <c r="AN92" i="1"/>
  <c r="G61" i="1" l="1"/>
  <c r="F61" i="1" s="1"/>
  <c r="DD68" i="1"/>
  <c r="L68" i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J64" i="1"/>
  <c r="AQ96" i="1"/>
  <c r="DC96" i="1" s="1"/>
  <c r="DC95" i="1" s="1"/>
  <c r="DC94" i="1" s="1"/>
  <c r="DC93" i="1" s="1"/>
  <c r="DC92" i="1" s="1"/>
  <c r="DC91" i="1" s="1"/>
  <c r="DC90" i="1" s="1"/>
  <c r="DC89" i="1" s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H63" i="1"/>
  <c r="AO95" i="1"/>
  <c r="AL92" i="1"/>
  <c r="AM92" i="1"/>
  <c r="AN93" i="1"/>
  <c r="K65" i="1"/>
  <c r="AR97" i="1"/>
  <c r="H62" i="1"/>
  <c r="AO94" i="1"/>
  <c r="G63" i="1" l="1"/>
  <c r="F63" i="1" s="1"/>
  <c r="F62" i="1"/>
  <c r="G62" i="1"/>
  <c r="AN94" i="1"/>
  <c r="J65" i="1"/>
  <c r="AQ97" i="1"/>
  <c r="AN95" i="1"/>
  <c r="DC68" i="1"/>
  <c r="K68" i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I64" i="1"/>
  <c r="AP96" i="1"/>
  <c r="DB96" i="1" s="1"/>
  <c r="DB95" i="1" s="1"/>
  <c r="DB94" i="1" s="1"/>
  <c r="DB93" i="1" s="1"/>
  <c r="DB92" i="1" s="1"/>
  <c r="DB91" i="1" s="1"/>
  <c r="DB90" i="1" s="1"/>
  <c r="DB89" i="1" s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AL93" i="1"/>
  <c r="AM93" i="1"/>
  <c r="I65" i="1" l="1"/>
  <c r="AP97" i="1"/>
  <c r="J68" i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DB68" i="1"/>
  <c r="AL95" i="1"/>
  <c r="AM95" i="1"/>
  <c r="H64" i="1"/>
  <c r="AO96" i="1"/>
  <c r="DA96" i="1" s="1"/>
  <c r="DA95" i="1" s="1"/>
  <c r="DA94" i="1" s="1"/>
  <c r="DA93" i="1" s="1"/>
  <c r="DA92" i="1" s="1"/>
  <c r="DA91" i="1" s="1"/>
  <c r="DA90" i="1" s="1"/>
  <c r="DA89" i="1" s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AL94" i="1"/>
  <c r="AM94" i="1"/>
  <c r="G64" i="1" l="1"/>
  <c r="F64" i="1" s="1"/>
  <c r="H65" i="1"/>
  <c r="AO97" i="1"/>
  <c r="DA68" i="1"/>
  <c r="I68" i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AN96" i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G65" i="1" l="1"/>
  <c r="F65" i="1" s="1"/>
  <c r="CZ68" i="1"/>
  <c r="H68" i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AL96" i="1"/>
  <c r="CX96" i="1" s="1"/>
  <c r="CX95" i="1" s="1"/>
  <c r="CX94" i="1" s="1"/>
  <c r="CX93" i="1" s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AM96" i="1"/>
  <c r="CY96" i="1" s="1"/>
  <c r="CY95" i="1" s="1"/>
  <c r="CY94" i="1" s="1"/>
  <c r="CY93" i="1" s="1"/>
  <c r="CY92" i="1" s="1"/>
  <c r="CY91" i="1" s="1"/>
  <c r="CY90" i="1" s="1"/>
  <c r="CY89" i="1" s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AN97" i="1"/>
  <c r="AL97" i="1" l="1"/>
  <c r="AM97" i="1"/>
  <c r="CY68" i="1"/>
  <c r="G68" i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</calcChain>
</file>

<file path=xl/sharedStrings.xml><?xml version="1.0" encoding="utf-8"?>
<sst xmlns="http://schemas.openxmlformats.org/spreadsheetml/2006/main" count="25" uniqueCount="19">
  <si>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</si>
  <si>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</si>
  <si>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</si>
  <si>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</si>
  <si>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</si>
  <si>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</si>
  <si>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</si>
  <si>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</si>
  <si>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</si>
  <si>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</si>
  <si>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T_end</t>
  </si>
  <si>
    <t>A</t>
  </si>
  <si>
    <t>B</t>
  </si>
  <si>
    <t>C</t>
  </si>
  <si>
    <t>n+0,5</t>
  </si>
  <si>
    <t>α</t>
  </si>
  <si>
    <t>Fi</t>
  </si>
  <si>
    <t>β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</si>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</sst>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E+00"/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charset val="204"/>
    </font>
    <font>
      <b/>
      <sz val="20"/>
      <color theme="1"/>
      <name val="Calibri"/>
      <family val="2"/>
      <charset val="204"/>
      <scheme val="minor"/>
    </font>
    <font>
      <b/>
      <sz val="48"/>
      <color theme="1"/>
      <name val="Calibri"/>
      <family val="2"/>
      <charset val="204"/>
    </font>
    <font>
      <b/>
      <sz val="48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1" xfId="0" applyNumberFormat="1" applyBorder="1"/>
    <xf numFmtId="0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0" borderId="3" xfId="0" applyBorder="1"/>
    <xf numFmtId="166" fontId="0" fillId="0" borderId="1" xfId="0" applyNumberFormat="1" applyBorder="1"/>
    <xf numFmtId="0" fontId="0" fillId="9" borderId="1" xfId="0" applyFill="1" applyBorder="1"/>
    <xf numFmtId="166" fontId="0" fillId="9" borderId="1" xfId="0" applyNumberFormat="1" applyFill="1" applyBorder="1"/>
    <xf numFmtId="164" fontId="0" fillId="2" borderId="1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6680446194225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Sheet1!$F$19:$AI$19</c:f>
              <c:numCache>
                <c:formatCode>General</c:formatCode>
                <c:ptCount val="30"/>
                <c:pt idx="0">
                  <c:v>300</c:v>
                </c:pt>
                <c:pt idx="1">
                  <c:v>287.1287964242664</c:v>
                </c:pt>
                <c:pt idx="2">
                  <c:v>274.3288285717307</c:v>
                </c:pt>
                <c:pt idx="3">
                  <c:v>261.67044111219025</c:v>
                </c:pt>
                <c:pt idx="4">
                  <c:v>249.22220970094287</c:v>
                </c:pt>
                <c:pt idx="5">
                  <c:v>237.05008892167643</c:v>
                </c:pt>
                <c:pt idx="6">
                  <c:v>225.21659839339407</c:v>
                </c:pt>
                <c:pt idx="7">
                  <c:v>213.78005849750144</c:v>
                </c:pt>
                <c:pt idx="8">
                  <c:v>202.79388615199716</c:v>
                </c:pt>
                <c:pt idx="9">
                  <c:v>192.30595983933091</c:v>
                </c:pt>
                <c:pt idx="10">
                  <c:v>182.35806172249528</c:v>
                </c:pt>
                <c:pt idx="11">
                  <c:v>172.9854032036119</c:v>
                </c:pt>
                <c:pt idx="12">
                  <c:v>164.21623873582917</c:v>
                </c:pt>
                <c:pt idx="13">
                  <c:v>156.07157113785962</c:v>
                </c:pt>
                <c:pt idx="14">
                  <c:v>148.56495012413902</c:v>
                </c:pt>
                <c:pt idx="15">
                  <c:v>141.70236429194324</c:v>
                </c:pt>
                <c:pt idx="16">
                  <c:v>135.48222543435213</c:v>
                </c:pt>
                <c:pt idx="17">
                  <c:v>129.89544280295908</c:v>
                </c:pt>
                <c:pt idx="18">
                  <c:v>124.92558384789987</c:v>
                </c:pt>
                <c:pt idx="19">
                  <c:v>120.54911702881199</c:v>
                </c:pt>
                <c:pt idx="20">
                  <c:v>116.73573152484609</c:v>
                </c:pt>
                <c:pt idx="21">
                  <c:v>113.44872807362287</c:v>
                </c:pt>
                <c:pt idx="22">
                  <c:v>110.64547473011828</c:v>
                </c:pt>
                <c:pt idx="23">
                  <c:v>108.27792104307866</c:v>
                </c:pt>
                <c:pt idx="24">
                  <c:v>106.29316398015968</c:v>
                </c:pt>
                <c:pt idx="25">
                  <c:v>104.63405887149921</c:v>
                </c:pt>
                <c:pt idx="26">
                  <c:v>103.23986866067884</c:v>
                </c:pt>
                <c:pt idx="27">
                  <c:v>102.04694482705142</c:v>
                </c:pt>
                <c:pt idx="28">
                  <c:v>100.98943344986182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BEF-4114-B714-A9AA6104443E}"/>
            </c:ext>
          </c:extLst>
        </c:ser>
        <c:ser>
          <c:idx val="1"/>
          <c:order val="1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'[1]BC1st явная схема'!$F$13:$AI$13</c:f>
              <c:numCache>
                <c:formatCode>General</c:formatCode>
                <c:ptCount val="30"/>
                <c:pt idx="0">
                  <c:v>300</c:v>
                </c:pt>
                <c:pt idx="1">
                  <c:v>280.30101778168205</c:v>
                </c:pt>
                <c:pt idx="2">
                  <c:v>260.77002870387412</c:v>
                </c:pt>
                <c:pt idx="3">
                  <c:v>241.57190431525464</c:v>
                </c:pt>
                <c:pt idx="4">
                  <c:v>222.86538106601614</c:v>
                </c:pt>
                <c:pt idx="5">
                  <c:v>204.8002567447989</c:v>
                </c:pt>
                <c:pt idx="6">
                  <c:v>187.51488674128211</c:v>
                </c:pt>
                <c:pt idx="7">
                  <c:v>171.1340532013761</c:v>
                </c:pt>
                <c:pt idx="8">
                  <c:v>155.76725974978916</c:v>
                </c:pt>
                <c:pt idx="9">
                  <c:v>141.50748198508671</c:v>
                </c:pt>
                <c:pt idx="10">
                  <c:v>128.4303810104978</c:v>
                </c:pt>
                <c:pt idx="11">
                  <c:v>116.59396542286223</c:v>
                </c:pt>
                <c:pt idx="12">
                  <c:v>106.03866785332133</c:v>
                </c:pt>
                <c:pt idx="13">
                  <c:v>96.787786475375171</c:v>
                </c:pt>
                <c:pt idx="14">
                  <c:v>88.848230654560581</c:v>
                </c:pt>
                <c:pt idx="15">
                  <c:v>82.211503497294075</c:v>
                </c:pt>
                <c:pt idx="16">
                  <c:v>76.854852448091975</c:v>
                </c:pt>
                <c:pt idx="17">
                  <c:v>72.742521893924703</c:v>
                </c:pt>
                <c:pt idx="18">
                  <c:v>69.827048258987034</c:v>
                </c:pt>
                <c:pt idx="19">
                  <c:v>68.050547383134031</c:v>
                </c:pt>
                <c:pt idx="20">
                  <c:v>67.34595501659453</c:v>
                </c:pt>
                <c:pt idx="21">
                  <c:v>67.63819295396884</c:v>
                </c:pt>
                <c:pt idx="22">
                  <c:v>68.845244669526181</c:v>
                </c:pt>
                <c:pt idx="23">
                  <c:v>70.879134460503536</c:v>
                </c:pt>
                <c:pt idx="24">
                  <c:v>73.646812434018045</c:v>
                </c:pt>
                <c:pt idx="25">
                  <c:v>77.05095382242321</c:v>
                </c:pt>
                <c:pt idx="26">
                  <c:v>82</c:v>
                </c:pt>
                <c:pt idx="27">
                  <c:v>87</c:v>
                </c:pt>
                <c:pt idx="28">
                  <c:v>94.75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51C-4D0F-8ABC-534BF49DC53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Sheet1!$F$34:$AI$34</c:f>
              <c:numCache>
                <c:formatCode>0.000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751C-4D0F-8ABC-534BF49DC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85952"/>
        <c:axId val="44287488"/>
      </c:scatterChart>
      <c:valAx>
        <c:axId val="4428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87488"/>
        <c:crosses val="autoZero"/>
        <c:crossBetween val="midCat"/>
      </c:valAx>
      <c:valAx>
        <c:axId val="44287488"/>
        <c:scaling>
          <c:orientation val="minMax"/>
          <c:max val="3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8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371475</xdr:colOff>
      <xdr:row>6</xdr:row>
      <xdr:rowOff>147638</xdr:rowOff>
    </xdr:from>
    <xdr:to>
      <xdr:col>49</xdr:col>
      <xdr:colOff>447675</xdr:colOff>
      <xdr:row>28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23</xdr:row>
          <xdr:rowOff>167640</xdr:rowOff>
        </xdr:from>
        <xdr:to>
          <xdr:col>2</xdr:col>
          <xdr:colOff>1104900</xdr:colOff>
          <xdr:row>30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1;&#1080;&#1089;&#1090;%20Microsoft%20Excel%20yavnay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 неявная схема"/>
      <sheetName val="BC1st явная схема"/>
    </sheetNames>
    <sheetDataSet>
      <sheetData sheetId="0" refreshError="1"/>
      <sheetData sheetId="1">
        <row r="13">
          <cell r="F13">
            <v>300</v>
          </cell>
          <cell r="G13">
            <v>280.30101778168205</v>
          </cell>
          <cell r="H13">
            <v>260.77002870387412</v>
          </cell>
          <cell r="I13">
            <v>241.57190431525464</v>
          </cell>
          <cell r="J13">
            <v>222.86538106601614</v>
          </cell>
          <cell r="K13">
            <v>204.8002567447989</v>
          </cell>
          <cell r="L13">
            <v>187.51488674128211</v>
          </cell>
          <cell r="M13">
            <v>171.1340532013761</v>
          </cell>
          <cell r="N13">
            <v>155.76725974978916</v>
          </cell>
          <cell r="O13">
            <v>141.50748198508671</v>
          </cell>
          <cell r="P13">
            <v>128.4303810104978</v>
          </cell>
          <cell r="Q13">
            <v>116.59396542286223</v>
          </cell>
          <cell r="R13">
            <v>106.03866785332133</v>
          </cell>
          <cell r="S13">
            <v>96.787786475375171</v>
          </cell>
          <cell r="T13">
            <v>88.848230654560581</v>
          </cell>
          <cell r="U13">
            <v>82.211503497294075</v>
          </cell>
          <cell r="V13">
            <v>76.854852448091975</v>
          </cell>
          <cell r="W13">
            <v>72.742521893924703</v>
          </cell>
          <cell r="X13">
            <v>69.827048258987034</v>
          </cell>
          <cell r="Y13">
            <v>68.050547383134031</v>
          </cell>
          <cell r="Z13">
            <v>67.34595501659453</v>
          </cell>
          <cell r="AA13">
            <v>67.63819295396884</v>
          </cell>
          <cell r="AB13">
            <v>68.845244669526181</v>
          </cell>
          <cell r="AC13">
            <v>70.879134460503536</v>
          </cell>
          <cell r="AD13">
            <v>73.646812434018045</v>
          </cell>
          <cell r="AE13">
            <v>77.05095382242321</v>
          </cell>
          <cell r="AF13">
            <v>82</v>
          </cell>
          <cell r="AG13">
            <v>87</v>
          </cell>
          <cell r="AH13">
            <v>94.75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3:EA97"/>
  <sheetViews>
    <sheetView tabSelected="1" zoomScale="60" zoomScaleNormal="60" workbookViewId="0">
      <selection activeCell="M16" sqref="M1:M1048576"/>
    </sheetView>
  </sheetViews>
  <sheetFormatPr defaultRowHeight="14.4" x14ac:dyDescent="0.3"/>
  <cols>
    <col min="3" max="3" width="16.21875" customWidth="1"/>
    <col min="5" max="5" width="9.6640625" customWidth="1"/>
    <col min="6" max="6" width="6.21875" bestFit="1" customWidth="1"/>
    <col min="7" max="7" width="13.44140625" customWidth="1"/>
    <col min="8" max="24" width="13.44140625" bestFit="1" customWidth="1"/>
    <col min="25" max="25" width="12.33203125" bestFit="1" customWidth="1"/>
    <col min="26" max="28" width="13.44140625" bestFit="1" customWidth="1"/>
    <col min="29" max="30" width="12.33203125" bestFit="1" customWidth="1"/>
    <col min="31" max="34" width="13.44140625" bestFit="1" customWidth="1"/>
    <col min="35" max="35" width="6" customWidth="1"/>
    <col min="38" max="67" width="6.6640625" customWidth="1"/>
    <col min="70" max="99" width="6.33203125" customWidth="1"/>
    <col min="102" max="130" width="6.88671875" customWidth="1"/>
    <col min="131" max="131" width="8" customWidth="1"/>
  </cols>
  <sheetData>
    <row r="3" spans="2:36" x14ac:dyDescent="0.3">
      <c r="B3" s="5" t="s">
        <v>0</v>
      </c>
      <c r="C3" s="18">
        <v>0.1</v>
      </c>
      <c r="E3" s="10"/>
      <c r="F3" s="11">
        <v>1</v>
      </c>
      <c r="G3" s="11">
        <v>2</v>
      </c>
      <c r="H3" s="11">
        <v>3</v>
      </c>
      <c r="I3" s="11">
        <v>4</v>
      </c>
      <c r="J3" s="11">
        <v>5</v>
      </c>
      <c r="K3" s="11">
        <v>6</v>
      </c>
      <c r="L3" s="11">
        <v>7</v>
      </c>
      <c r="M3" s="11">
        <v>8</v>
      </c>
      <c r="N3" s="11">
        <v>9</v>
      </c>
      <c r="O3" s="11">
        <v>10</v>
      </c>
      <c r="P3" s="11">
        <v>11</v>
      </c>
      <c r="Q3" s="11">
        <v>12</v>
      </c>
      <c r="R3" s="11">
        <v>13</v>
      </c>
      <c r="S3" s="11">
        <v>14</v>
      </c>
      <c r="T3" s="11">
        <v>15</v>
      </c>
      <c r="U3" s="11">
        <v>16</v>
      </c>
      <c r="V3" s="11">
        <v>17</v>
      </c>
      <c r="W3" s="11">
        <v>18</v>
      </c>
      <c r="X3" s="11">
        <v>19</v>
      </c>
      <c r="Y3" s="11">
        <v>20</v>
      </c>
      <c r="Z3" s="11">
        <v>21</v>
      </c>
      <c r="AA3" s="11">
        <v>22</v>
      </c>
      <c r="AB3" s="11">
        <v>23</v>
      </c>
      <c r="AC3" s="11">
        <v>24</v>
      </c>
      <c r="AD3" s="11">
        <v>25</v>
      </c>
      <c r="AE3" s="11">
        <v>26</v>
      </c>
      <c r="AF3" s="11">
        <v>27</v>
      </c>
      <c r="AG3" s="11">
        <v>28</v>
      </c>
      <c r="AH3" s="11">
        <v>29</v>
      </c>
      <c r="AI3" s="13">
        <v>30</v>
      </c>
      <c r="AJ3" s="10"/>
    </row>
    <row r="4" spans="2:36" x14ac:dyDescent="0.3">
      <c r="B4" s="5" t="s">
        <v>1</v>
      </c>
      <c r="C4" s="18">
        <v>0.1</v>
      </c>
      <c r="E4" s="12">
        <f t="shared" ref="E4:E31" si="0">E5+$C$6</f>
        <v>0.10000000000000007</v>
      </c>
      <c r="F4" s="2">
        <v>300</v>
      </c>
      <c r="G4" s="1">
        <v>287.12879642426623</v>
      </c>
      <c r="H4" s="1">
        <v>274.32882857173036</v>
      </c>
      <c r="I4" s="1">
        <v>261.67044111218991</v>
      </c>
      <c r="J4" s="1">
        <v>249.22220970094253</v>
      </c>
      <c r="K4" s="1">
        <v>237.05008892167606</v>
      </c>
      <c r="L4" s="1">
        <v>225.21659839339367</v>
      </c>
      <c r="M4" s="1">
        <v>213.78005849750093</v>
      </c>
      <c r="N4" s="1">
        <v>202.79388615199673</v>
      </c>
      <c r="O4" s="1">
        <v>192.30595983933051</v>
      </c>
      <c r="P4" s="1">
        <v>182.35806172249482</v>
      </c>
      <c r="Q4" s="1">
        <v>172.9854032036115</v>
      </c>
      <c r="R4" s="1">
        <v>164.21623873582874</v>
      </c>
      <c r="S4" s="1">
        <v>156.07157113785914</v>
      </c>
      <c r="T4" s="1">
        <v>148.56495012413856</v>
      </c>
      <c r="U4" s="1">
        <v>141.70236429194279</v>
      </c>
      <c r="V4" s="1">
        <v>135.48222543435173</v>
      </c>
      <c r="W4" s="1">
        <v>129.89544280295868</v>
      </c>
      <c r="X4" s="1">
        <v>124.92558384789947</v>
      </c>
      <c r="Y4" s="1">
        <v>120.54911702881162</v>
      </c>
      <c r="Z4" s="1">
        <v>116.73573152484579</v>
      </c>
      <c r="AA4" s="1">
        <v>113.44872807362259</v>
      </c>
      <c r="AB4" s="1">
        <v>110.64547473011801</v>
      </c>
      <c r="AC4" s="1">
        <v>108.27792104307841</v>
      </c>
      <c r="AD4" s="1">
        <v>106.29316398015945</v>
      </c>
      <c r="AE4" s="1">
        <v>104.63405887149898</v>
      </c>
      <c r="AF4" s="1">
        <v>103.23986866067867</v>
      </c>
      <c r="AG4" s="1">
        <v>102.04694482705129</v>
      </c>
      <c r="AH4" s="1">
        <v>100.98943344986174</v>
      </c>
      <c r="AI4" s="14">
        <v>100</v>
      </c>
      <c r="AJ4" s="11">
        <f t="shared" ref="AJ4:AJ31" si="1">AJ5+1</f>
        <v>30</v>
      </c>
    </row>
    <row r="5" spans="2:36" x14ac:dyDescent="0.3">
      <c r="B5" s="5" t="s">
        <v>2</v>
      </c>
      <c r="C5" s="18">
        <f>C3/29</f>
        <v>3.4482758620689659E-3</v>
      </c>
      <c r="E5" s="12">
        <f t="shared" si="0"/>
        <v>9.6551724137931103E-2</v>
      </c>
      <c r="F5" s="2">
        <v>300</v>
      </c>
      <c r="G5" s="1">
        <v>287.12879642426623</v>
      </c>
      <c r="H5" s="1">
        <v>274.32882857173036</v>
      </c>
      <c r="I5" s="1">
        <v>261.67044111218991</v>
      </c>
      <c r="J5" s="1">
        <v>249.22220970094253</v>
      </c>
      <c r="K5" s="1">
        <v>237.05008892167609</v>
      </c>
      <c r="L5" s="1">
        <v>225.21659839339367</v>
      </c>
      <c r="M5" s="1">
        <v>213.78005849750093</v>
      </c>
      <c r="N5" s="1">
        <v>202.79388615199673</v>
      </c>
      <c r="O5" s="1">
        <v>192.30595983933051</v>
      </c>
      <c r="P5" s="1">
        <v>182.35806172249482</v>
      </c>
      <c r="Q5" s="1">
        <v>172.9854032036115</v>
      </c>
      <c r="R5" s="1">
        <v>164.21623873582874</v>
      </c>
      <c r="S5" s="1">
        <v>156.07157113785914</v>
      </c>
      <c r="T5" s="1">
        <v>148.56495012413856</v>
      </c>
      <c r="U5" s="1">
        <v>141.70236429194279</v>
      </c>
      <c r="V5" s="1">
        <v>135.48222543435173</v>
      </c>
      <c r="W5" s="1">
        <v>129.89544280295868</v>
      </c>
      <c r="X5" s="1">
        <v>124.92558384789947</v>
      </c>
      <c r="Y5" s="1">
        <v>120.54911702881162</v>
      </c>
      <c r="Z5" s="1">
        <v>116.73573152484579</v>
      </c>
      <c r="AA5" s="1">
        <v>113.44872807362259</v>
      </c>
      <c r="AB5" s="1">
        <v>110.64547473011801</v>
      </c>
      <c r="AC5" s="1">
        <v>108.27792104307841</v>
      </c>
      <c r="AD5" s="1">
        <v>106.29316398015945</v>
      </c>
      <c r="AE5" s="1">
        <v>104.63405887149898</v>
      </c>
      <c r="AF5" s="1">
        <v>103.23986866067867</v>
      </c>
      <c r="AG5" s="1">
        <v>102.04694482705129</v>
      </c>
      <c r="AH5" s="1">
        <v>100.98943344986174</v>
      </c>
      <c r="AI5" s="14">
        <v>100</v>
      </c>
      <c r="AJ5" s="11">
        <f t="shared" si="1"/>
        <v>29</v>
      </c>
    </row>
    <row r="6" spans="2:36" x14ac:dyDescent="0.3">
      <c r="B6" s="5" t="s">
        <v>3</v>
      </c>
      <c r="C6" s="18">
        <f>C4/29</f>
        <v>3.4482758620689659E-3</v>
      </c>
      <c r="E6" s="12">
        <f t="shared" si="0"/>
        <v>9.310344827586213E-2</v>
      </c>
      <c r="F6" s="2">
        <v>300</v>
      </c>
      <c r="G6" s="1">
        <v>287.12879642426623</v>
      </c>
      <c r="H6" s="1">
        <v>274.32882857173036</v>
      </c>
      <c r="I6" s="1">
        <v>261.67044111218991</v>
      </c>
      <c r="J6" s="1">
        <v>249.22220970094253</v>
      </c>
      <c r="K6" s="1">
        <v>237.05008892167609</v>
      </c>
      <c r="L6" s="1">
        <v>225.21659839339367</v>
      </c>
      <c r="M6" s="1">
        <v>213.78005849750093</v>
      </c>
      <c r="N6" s="1">
        <v>202.79388615199673</v>
      </c>
      <c r="O6" s="1">
        <v>192.30595983933051</v>
      </c>
      <c r="P6" s="1">
        <v>182.35806172249482</v>
      </c>
      <c r="Q6" s="1">
        <v>172.9854032036115</v>
      </c>
      <c r="R6" s="1">
        <v>164.21623873582874</v>
      </c>
      <c r="S6" s="1">
        <v>156.07157113785917</v>
      </c>
      <c r="T6" s="1">
        <v>148.56495012413856</v>
      </c>
      <c r="U6" s="1">
        <v>141.70236429194279</v>
      </c>
      <c r="V6" s="1">
        <v>135.48222543435173</v>
      </c>
      <c r="W6" s="1">
        <v>129.89544280295868</v>
      </c>
      <c r="X6" s="1">
        <v>124.92558384789947</v>
      </c>
      <c r="Y6" s="1">
        <v>120.54911702881162</v>
      </c>
      <c r="Z6" s="1">
        <v>116.73573152484579</v>
      </c>
      <c r="AA6" s="1">
        <v>113.44872807362259</v>
      </c>
      <c r="AB6" s="1">
        <v>110.64547473011801</v>
      </c>
      <c r="AC6" s="1">
        <v>108.27792104307841</v>
      </c>
      <c r="AD6" s="1">
        <v>106.29316398015945</v>
      </c>
      <c r="AE6" s="1">
        <v>104.63405887149898</v>
      </c>
      <c r="AF6" s="1">
        <v>103.23986866067867</v>
      </c>
      <c r="AG6" s="1">
        <v>102.04694482705129</v>
      </c>
      <c r="AH6" s="1">
        <v>100.98943344986174</v>
      </c>
      <c r="AI6" s="14">
        <v>100</v>
      </c>
      <c r="AJ6" s="11">
        <f t="shared" si="1"/>
        <v>28</v>
      </c>
    </row>
    <row r="7" spans="2:36" x14ac:dyDescent="0.3">
      <c r="B7" s="5" t="s">
        <v>4</v>
      </c>
      <c r="C7" s="19">
        <v>60</v>
      </c>
      <c r="D7">
        <v>61</v>
      </c>
      <c r="E7" s="12">
        <f t="shared" si="0"/>
        <v>8.9655172413793158E-2</v>
      </c>
      <c r="F7" s="2">
        <v>300</v>
      </c>
      <c r="G7" s="1">
        <v>287.12879642426623</v>
      </c>
      <c r="H7" s="1">
        <v>274.32882857173036</v>
      </c>
      <c r="I7" s="1">
        <v>261.67044111218991</v>
      </c>
      <c r="J7" s="1">
        <v>249.22220970094253</v>
      </c>
      <c r="K7" s="1">
        <v>237.05008892167609</v>
      </c>
      <c r="L7" s="1">
        <v>225.21659839339367</v>
      </c>
      <c r="M7" s="1">
        <v>213.78005849750093</v>
      </c>
      <c r="N7" s="1">
        <v>202.79388615199673</v>
      </c>
      <c r="O7" s="1">
        <v>192.30595983933051</v>
      </c>
      <c r="P7" s="1">
        <v>182.35806172249482</v>
      </c>
      <c r="Q7" s="1">
        <v>172.9854032036115</v>
      </c>
      <c r="R7" s="1">
        <v>164.21623873582874</v>
      </c>
      <c r="S7" s="1">
        <v>156.07157113785919</v>
      </c>
      <c r="T7" s="1">
        <v>148.56495012413856</v>
      </c>
      <c r="U7" s="1">
        <v>141.70236429194279</v>
      </c>
      <c r="V7" s="1">
        <v>135.48222543435173</v>
      </c>
      <c r="W7" s="1">
        <v>129.89544280295868</v>
      </c>
      <c r="X7" s="1">
        <v>124.92558384789949</v>
      </c>
      <c r="Y7" s="1">
        <v>120.54911702881162</v>
      </c>
      <c r="Z7" s="1">
        <v>116.73573152484579</v>
      </c>
      <c r="AA7" s="1">
        <v>113.44872807362259</v>
      </c>
      <c r="AB7" s="1">
        <v>110.64547473011802</v>
      </c>
      <c r="AC7" s="1">
        <v>108.27792104307841</v>
      </c>
      <c r="AD7" s="1">
        <v>106.29316398015945</v>
      </c>
      <c r="AE7" s="1">
        <v>104.63405887149898</v>
      </c>
      <c r="AF7" s="1">
        <v>103.23986866067867</v>
      </c>
      <c r="AG7" s="1">
        <v>102.04694482705129</v>
      </c>
      <c r="AH7" s="1">
        <v>100.98943344986174</v>
      </c>
      <c r="AI7" s="14">
        <v>100</v>
      </c>
      <c r="AJ7" s="11">
        <f t="shared" si="1"/>
        <v>27</v>
      </c>
    </row>
    <row r="8" spans="2:36" x14ac:dyDescent="0.3">
      <c r="B8" s="5" t="s">
        <v>5</v>
      </c>
      <c r="C8" s="20">
        <v>1</v>
      </c>
      <c r="E8" s="12">
        <f t="shared" si="0"/>
        <v>8.6206896551724185E-2</v>
      </c>
      <c r="F8" s="2">
        <v>300</v>
      </c>
      <c r="G8" s="1">
        <v>287.12879642426623</v>
      </c>
      <c r="H8" s="1">
        <v>274.32882857173036</v>
      </c>
      <c r="I8" s="1">
        <v>261.67044111218991</v>
      </c>
      <c r="J8" s="1">
        <v>249.22220970094253</v>
      </c>
      <c r="K8" s="1">
        <v>237.05008892167609</v>
      </c>
      <c r="L8" s="1">
        <v>225.21659839339367</v>
      </c>
      <c r="M8" s="1">
        <v>213.78005849750096</v>
      </c>
      <c r="N8" s="1">
        <v>202.79388615199673</v>
      </c>
      <c r="O8" s="1">
        <v>192.30595983933051</v>
      </c>
      <c r="P8" s="1">
        <v>182.35806172249482</v>
      </c>
      <c r="Q8" s="1">
        <v>172.9854032036115</v>
      </c>
      <c r="R8" s="1">
        <v>164.21623873582877</v>
      </c>
      <c r="S8" s="1">
        <v>156.07157113785922</v>
      </c>
      <c r="T8" s="1">
        <v>148.56495012413859</v>
      </c>
      <c r="U8" s="1">
        <v>141.70236429194281</v>
      </c>
      <c r="V8" s="1">
        <v>135.48222543435173</v>
      </c>
      <c r="W8" s="1">
        <v>129.89544280295868</v>
      </c>
      <c r="X8" s="1">
        <v>124.9255838478995</v>
      </c>
      <c r="Y8" s="1">
        <v>120.54911702881162</v>
      </c>
      <c r="Z8" s="1">
        <v>116.73573152484579</v>
      </c>
      <c r="AA8" s="1">
        <v>113.44872807362259</v>
      </c>
      <c r="AB8" s="1">
        <v>110.64547473011802</v>
      </c>
      <c r="AC8" s="1">
        <v>108.27792104307841</v>
      </c>
      <c r="AD8" s="1">
        <v>106.29316398015945</v>
      </c>
      <c r="AE8" s="1">
        <v>104.63405887149898</v>
      </c>
      <c r="AF8" s="1">
        <v>103.23986866067867</v>
      </c>
      <c r="AG8" s="1">
        <v>102.04694482705129</v>
      </c>
      <c r="AH8" s="1">
        <v>100.98943344986174</v>
      </c>
      <c r="AI8" s="14">
        <v>100</v>
      </c>
      <c r="AJ8" s="11">
        <f t="shared" si="1"/>
        <v>26</v>
      </c>
    </row>
    <row r="9" spans="2:36" x14ac:dyDescent="0.3">
      <c r="C9" s="21"/>
      <c r="E9" s="12">
        <f t="shared" si="0"/>
        <v>8.2758620689655213E-2</v>
      </c>
      <c r="F9" s="2">
        <v>300</v>
      </c>
      <c r="G9" s="1">
        <v>287.12879642426623</v>
      </c>
      <c r="H9" s="1">
        <v>274.32882857173036</v>
      </c>
      <c r="I9" s="1">
        <v>261.67044111218991</v>
      </c>
      <c r="J9" s="1">
        <v>249.22220970094253</v>
      </c>
      <c r="K9" s="1">
        <v>237.05008892167609</v>
      </c>
      <c r="L9" s="1">
        <v>225.21659839339367</v>
      </c>
      <c r="M9" s="1">
        <v>213.78005849750099</v>
      </c>
      <c r="N9" s="1">
        <v>202.79388615199676</v>
      </c>
      <c r="O9" s="1">
        <v>192.30595983933051</v>
      </c>
      <c r="P9" s="1">
        <v>182.35806172249485</v>
      </c>
      <c r="Q9" s="1">
        <v>172.9854032036115</v>
      </c>
      <c r="R9" s="1">
        <v>164.21623873582877</v>
      </c>
      <c r="S9" s="1">
        <v>156.07157113785925</v>
      </c>
      <c r="T9" s="1">
        <v>148.56495012413862</v>
      </c>
      <c r="U9" s="1">
        <v>141.70236429194284</v>
      </c>
      <c r="V9" s="1">
        <v>135.48222543435176</v>
      </c>
      <c r="W9" s="1">
        <v>129.89544280295871</v>
      </c>
      <c r="X9" s="1">
        <v>124.92558384789953</v>
      </c>
      <c r="Y9" s="1">
        <v>120.54911702881165</v>
      </c>
      <c r="Z9" s="1">
        <v>116.73573152484579</v>
      </c>
      <c r="AA9" s="1">
        <v>113.44872807362262</v>
      </c>
      <c r="AB9" s="1">
        <v>110.64547473011802</v>
      </c>
      <c r="AC9" s="1">
        <v>108.27792104307842</v>
      </c>
      <c r="AD9" s="1">
        <v>106.29316398015946</v>
      </c>
      <c r="AE9" s="1">
        <v>104.63405887149901</v>
      </c>
      <c r="AF9" s="1">
        <v>103.23986866067868</v>
      </c>
      <c r="AG9" s="1">
        <v>102.04694482705129</v>
      </c>
      <c r="AH9" s="1">
        <v>100.98943344986174</v>
      </c>
      <c r="AI9" s="14">
        <v>100</v>
      </c>
      <c r="AJ9" s="11">
        <f t="shared" si="1"/>
        <v>25</v>
      </c>
    </row>
    <row r="10" spans="2:36" x14ac:dyDescent="0.3">
      <c r="B10" s="6" t="s">
        <v>6</v>
      </c>
      <c r="C10" s="22">
        <v>460</v>
      </c>
      <c r="E10" s="12">
        <f t="shared" si="0"/>
        <v>7.931034482758624E-2</v>
      </c>
      <c r="F10" s="2">
        <v>300</v>
      </c>
      <c r="G10" s="1">
        <v>287.12879642426623</v>
      </c>
      <c r="H10" s="1">
        <v>274.32882857173036</v>
      </c>
      <c r="I10" s="1">
        <v>261.67044111218991</v>
      </c>
      <c r="J10" s="1">
        <v>249.22220970094256</v>
      </c>
      <c r="K10" s="1">
        <v>237.05008892167609</v>
      </c>
      <c r="L10" s="1">
        <v>225.21659839339367</v>
      </c>
      <c r="M10" s="1">
        <v>213.78005849750105</v>
      </c>
      <c r="N10" s="1">
        <v>202.79388615199679</v>
      </c>
      <c r="O10" s="1">
        <v>192.30595983933057</v>
      </c>
      <c r="P10" s="1">
        <v>182.35806172249491</v>
      </c>
      <c r="Q10" s="1">
        <v>172.98540320361155</v>
      </c>
      <c r="R10" s="1">
        <v>164.21623873582882</v>
      </c>
      <c r="S10" s="1">
        <v>156.07157113785928</v>
      </c>
      <c r="T10" s="1">
        <v>148.56495012413868</v>
      </c>
      <c r="U10" s="1">
        <v>141.7023642919429</v>
      </c>
      <c r="V10" s="1">
        <v>135.48222543435179</v>
      </c>
      <c r="W10" s="1">
        <v>129.89544280295877</v>
      </c>
      <c r="X10" s="1">
        <v>124.92558384789956</v>
      </c>
      <c r="Y10" s="1">
        <v>120.54911702881168</v>
      </c>
      <c r="Z10" s="1">
        <v>116.73573152484582</v>
      </c>
      <c r="AA10" s="1">
        <v>113.44872807362265</v>
      </c>
      <c r="AB10" s="1">
        <v>110.64547473011805</v>
      </c>
      <c r="AC10" s="1">
        <v>108.27792104307844</v>
      </c>
      <c r="AD10" s="1">
        <v>106.29316398015948</v>
      </c>
      <c r="AE10" s="1">
        <v>104.63405887149902</v>
      </c>
      <c r="AF10" s="1">
        <v>103.23986866067871</v>
      </c>
      <c r="AG10" s="1">
        <v>102.04694482705131</v>
      </c>
      <c r="AH10" s="1">
        <v>100.98943344986174</v>
      </c>
      <c r="AI10" s="14">
        <v>100</v>
      </c>
      <c r="AJ10" s="11">
        <f t="shared" si="1"/>
        <v>24</v>
      </c>
    </row>
    <row r="11" spans="2:36" x14ac:dyDescent="0.3">
      <c r="B11" s="6" t="s">
        <v>7</v>
      </c>
      <c r="C11" s="22">
        <v>7800</v>
      </c>
      <c r="E11" s="12">
        <f t="shared" si="0"/>
        <v>7.5862068965517268E-2</v>
      </c>
      <c r="F11" s="2">
        <v>300</v>
      </c>
      <c r="G11" s="1">
        <v>287.12879642426623</v>
      </c>
      <c r="H11" s="1">
        <v>274.32882857173041</v>
      </c>
      <c r="I11" s="1">
        <v>261.67044111218991</v>
      </c>
      <c r="J11" s="1">
        <v>249.22220970094259</v>
      </c>
      <c r="K11" s="1">
        <v>237.05008892167615</v>
      </c>
      <c r="L11" s="1">
        <v>225.2165983933937</v>
      </c>
      <c r="M11" s="1">
        <v>213.7800584975011</v>
      </c>
      <c r="N11" s="1">
        <v>202.79388615199684</v>
      </c>
      <c r="O11" s="1">
        <v>192.30595983933063</v>
      </c>
      <c r="P11" s="1">
        <v>182.35806172249494</v>
      </c>
      <c r="Q11" s="1">
        <v>172.98540320361161</v>
      </c>
      <c r="R11" s="1">
        <v>164.21623873582888</v>
      </c>
      <c r="S11" s="1">
        <v>156.07157113785934</v>
      </c>
      <c r="T11" s="1">
        <v>148.5649501241387</v>
      </c>
      <c r="U11" s="1">
        <v>141.70236429194293</v>
      </c>
      <c r="V11" s="1">
        <v>135.48222543435185</v>
      </c>
      <c r="W11" s="1">
        <v>129.8954428029588</v>
      </c>
      <c r="X11" s="1">
        <v>124.92558384789962</v>
      </c>
      <c r="Y11" s="1">
        <v>120.54911702881171</v>
      </c>
      <c r="Z11" s="1">
        <v>116.73573152484585</v>
      </c>
      <c r="AA11" s="1">
        <v>113.44872807362268</v>
      </c>
      <c r="AB11" s="1">
        <v>110.64547473011807</v>
      </c>
      <c r="AC11" s="1">
        <v>108.27792104307846</v>
      </c>
      <c r="AD11" s="1">
        <v>106.29316398015951</v>
      </c>
      <c r="AE11" s="1">
        <v>104.63405887149904</v>
      </c>
      <c r="AF11" s="1">
        <v>103.23986866067874</v>
      </c>
      <c r="AG11" s="1">
        <v>102.04694482705131</v>
      </c>
      <c r="AH11" s="1">
        <v>100.98943344986175</v>
      </c>
      <c r="AI11" s="14">
        <v>100</v>
      </c>
      <c r="AJ11" s="11">
        <f t="shared" si="1"/>
        <v>23</v>
      </c>
    </row>
    <row r="12" spans="2:36" x14ac:dyDescent="0.3">
      <c r="B12" s="6" t="s">
        <v>8</v>
      </c>
      <c r="C12" s="22">
        <v>46</v>
      </c>
      <c r="E12" s="12">
        <f t="shared" si="0"/>
        <v>7.2413793103448296E-2</v>
      </c>
      <c r="F12" s="2">
        <v>300</v>
      </c>
      <c r="G12" s="1">
        <v>287.12879642426628</v>
      </c>
      <c r="H12" s="1">
        <v>274.32882857173047</v>
      </c>
      <c r="I12" s="1">
        <v>261.67044111218996</v>
      </c>
      <c r="J12" s="1">
        <v>249.22220970094264</v>
      </c>
      <c r="K12" s="1">
        <v>237.05008892167621</v>
      </c>
      <c r="L12" s="1">
        <v>225.21659839339378</v>
      </c>
      <c r="M12" s="1">
        <v>213.78005849750116</v>
      </c>
      <c r="N12" s="1">
        <v>202.7938861519969</v>
      </c>
      <c r="O12" s="1">
        <v>192.30595983933068</v>
      </c>
      <c r="P12" s="1">
        <v>182.35806172249499</v>
      </c>
      <c r="Q12" s="1">
        <v>172.98540320361167</v>
      </c>
      <c r="R12" s="1">
        <v>164.21623873582894</v>
      </c>
      <c r="S12" s="1">
        <v>156.07157113785939</v>
      </c>
      <c r="T12" s="1">
        <v>148.56495012413876</v>
      </c>
      <c r="U12" s="1">
        <v>141.70236429194298</v>
      </c>
      <c r="V12" s="1">
        <v>135.4822254343519</v>
      </c>
      <c r="W12" s="1">
        <v>129.89544280295883</v>
      </c>
      <c r="X12" s="1">
        <v>124.92558384789967</v>
      </c>
      <c r="Y12" s="1">
        <v>120.54911702881175</v>
      </c>
      <c r="Z12" s="1">
        <v>116.7357315248459</v>
      </c>
      <c r="AA12" s="1">
        <v>113.44872807362269</v>
      </c>
      <c r="AB12" s="1">
        <v>110.64547473011808</v>
      </c>
      <c r="AC12" s="1">
        <v>108.27792104307849</v>
      </c>
      <c r="AD12" s="1">
        <v>106.29316398015953</v>
      </c>
      <c r="AE12" s="1">
        <v>104.63405887149906</v>
      </c>
      <c r="AF12" s="1">
        <v>103.23986866067875</v>
      </c>
      <c r="AG12" s="1">
        <v>102.04694482705132</v>
      </c>
      <c r="AH12" s="1">
        <v>100.98943344986176</v>
      </c>
      <c r="AI12" s="14">
        <v>100</v>
      </c>
      <c r="AJ12" s="11">
        <f t="shared" si="1"/>
        <v>22</v>
      </c>
    </row>
    <row r="13" spans="2:36" x14ac:dyDescent="0.3">
      <c r="C13" s="21"/>
      <c r="E13" s="12">
        <f t="shared" si="0"/>
        <v>6.8965517241379323E-2</v>
      </c>
      <c r="F13" s="2">
        <v>300</v>
      </c>
      <c r="G13" s="1">
        <v>287.12879642426634</v>
      </c>
      <c r="H13" s="1">
        <v>274.32882857173058</v>
      </c>
      <c r="I13" s="1">
        <v>261.67044111219002</v>
      </c>
      <c r="J13" s="1">
        <v>249.22220970094273</v>
      </c>
      <c r="K13" s="1">
        <v>237.05008892167626</v>
      </c>
      <c r="L13" s="1">
        <v>225.21659839339387</v>
      </c>
      <c r="M13" s="1">
        <v>213.78005849750122</v>
      </c>
      <c r="N13" s="1">
        <v>202.79388615199699</v>
      </c>
      <c r="O13" s="1">
        <v>192.30595983933077</v>
      </c>
      <c r="P13" s="1">
        <v>182.35806172249508</v>
      </c>
      <c r="Q13" s="1">
        <v>172.98540320361178</v>
      </c>
      <c r="R13" s="1">
        <v>164.21623873582902</v>
      </c>
      <c r="S13" s="1">
        <v>156.07157113785945</v>
      </c>
      <c r="T13" s="1">
        <v>148.56495012413882</v>
      </c>
      <c r="U13" s="1">
        <v>141.70236429194304</v>
      </c>
      <c r="V13" s="1">
        <v>135.48222543435196</v>
      </c>
      <c r="W13" s="1">
        <v>129.89544280295888</v>
      </c>
      <c r="X13" s="1">
        <v>124.92558384789973</v>
      </c>
      <c r="Y13" s="1">
        <v>120.54911702881182</v>
      </c>
      <c r="Z13" s="1">
        <v>116.73573152484596</v>
      </c>
      <c r="AA13" s="1">
        <v>113.44872807362273</v>
      </c>
      <c r="AB13" s="1">
        <v>110.64547473011814</v>
      </c>
      <c r="AC13" s="1">
        <v>108.27792104307854</v>
      </c>
      <c r="AD13" s="1">
        <v>106.29316398015958</v>
      </c>
      <c r="AE13" s="1">
        <v>104.63405887149909</v>
      </c>
      <c r="AF13" s="1">
        <v>103.23986866067878</v>
      </c>
      <c r="AG13" s="1">
        <v>102.04694482705136</v>
      </c>
      <c r="AH13" s="1">
        <v>100.98943344986179</v>
      </c>
      <c r="AI13" s="14">
        <v>100</v>
      </c>
      <c r="AJ13" s="11">
        <f t="shared" si="1"/>
        <v>21</v>
      </c>
    </row>
    <row r="14" spans="2:36" x14ac:dyDescent="0.3">
      <c r="B14" s="7" t="s">
        <v>9</v>
      </c>
      <c r="C14" s="23">
        <v>300</v>
      </c>
      <c r="E14" s="12">
        <f t="shared" si="0"/>
        <v>6.5517241379310351E-2</v>
      </c>
      <c r="F14" s="2">
        <v>300</v>
      </c>
      <c r="G14" s="1">
        <v>287.1287964242664</v>
      </c>
      <c r="H14" s="1">
        <v>274.32882857173064</v>
      </c>
      <c r="I14" s="1">
        <v>261.67044111219013</v>
      </c>
      <c r="J14" s="1">
        <v>249.22220970094281</v>
      </c>
      <c r="K14" s="1">
        <v>237.05008892167635</v>
      </c>
      <c r="L14" s="1">
        <v>225.21659839339395</v>
      </c>
      <c r="M14" s="1">
        <v>213.7800584975013</v>
      </c>
      <c r="N14" s="1">
        <v>202.79388615199707</v>
      </c>
      <c r="O14" s="1">
        <v>192.30595983933085</v>
      </c>
      <c r="P14" s="1">
        <v>182.35806172249517</v>
      </c>
      <c r="Q14" s="1">
        <v>172.98540320361184</v>
      </c>
      <c r="R14" s="1">
        <v>164.21623873582911</v>
      </c>
      <c r="S14" s="1">
        <v>156.07157113785956</v>
      </c>
      <c r="T14" s="1">
        <v>148.56495012413893</v>
      </c>
      <c r="U14" s="1">
        <v>141.70236429194313</v>
      </c>
      <c r="V14" s="1">
        <v>135.48222543435205</v>
      </c>
      <c r="W14" s="1">
        <v>129.89544280295897</v>
      </c>
      <c r="X14" s="1">
        <v>124.92558384789979</v>
      </c>
      <c r="Y14" s="1">
        <v>120.54911702881189</v>
      </c>
      <c r="Z14" s="1">
        <v>116.73573152484602</v>
      </c>
      <c r="AA14" s="1">
        <v>113.44872807362279</v>
      </c>
      <c r="AB14" s="1">
        <v>110.64547473011822</v>
      </c>
      <c r="AC14" s="1">
        <v>108.27792104307858</v>
      </c>
      <c r="AD14" s="1">
        <v>106.29316398015962</v>
      </c>
      <c r="AE14" s="1">
        <v>104.63405887149915</v>
      </c>
      <c r="AF14" s="1">
        <v>103.23986866067881</v>
      </c>
      <c r="AG14" s="1">
        <v>102.04694482705139</v>
      </c>
      <c r="AH14" s="1">
        <v>100.98943344986182</v>
      </c>
      <c r="AI14" s="14">
        <v>100</v>
      </c>
      <c r="AJ14" s="11">
        <f t="shared" si="1"/>
        <v>20</v>
      </c>
    </row>
    <row r="15" spans="2:36" x14ac:dyDescent="0.3">
      <c r="B15" s="7" t="s">
        <v>10</v>
      </c>
      <c r="C15" s="23">
        <v>100</v>
      </c>
      <c r="E15" s="12">
        <f t="shared" si="0"/>
        <v>6.2068965517241385E-2</v>
      </c>
      <c r="F15" s="2">
        <v>300</v>
      </c>
      <c r="G15" s="1">
        <v>287.12879642426645</v>
      </c>
      <c r="H15" s="1">
        <v>274.3288285717307</v>
      </c>
      <c r="I15" s="1">
        <v>261.67044111219025</v>
      </c>
      <c r="J15" s="1">
        <v>249.22220970094287</v>
      </c>
      <c r="K15" s="1">
        <v>237.05008892167643</v>
      </c>
      <c r="L15" s="1">
        <v>225.21659839339401</v>
      </c>
      <c r="M15" s="1">
        <v>213.78005849750136</v>
      </c>
      <c r="N15" s="1">
        <v>202.79388615199716</v>
      </c>
      <c r="O15" s="1">
        <v>192.30595983933091</v>
      </c>
      <c r="P15" s="1">
        <v>182.35806172249522</v>
      </c>
      <c r="Q15" s="1">
        <v>172.9854032036119</v>
      </c>
      <c r="R15" s="1">
        <v>164.21623873582917</v>
      </c>
      <c r="S15" s="1">
        <v>156.07157113785962</v>
      </c>
      <c r="T15" s="1">
        <v>148.56495012413899</v>
      </c>
      <c r="U15" s="1">
        <v>141.70236429194318</v>
      </c>
      <c r="V15" s="1">
        <v>135.4822254343521</v>
      </c>
      <c r="W15" s="1">
        <v>129.89544280295902</v>
      </c>
      <c r="X15" s="1">
        <v>124.92558384789983</v>
      </c>
      <c r="Y15" s="1">
        <v>120.54911702881192</v>
      </c>
      <c r="Z15" s="1">
        <v>116.73573152484605</v>
      </c>
      <c r="AA15" s="1">
        <v>113.44872807362283</v>
      </c>
      <c r="AB15" s="1">
        <v>110.64547473011825</v>
      </c>
      <c r="AC15" s="1">
        <v>108.27792104307861</v>
      </c>
      <c r="AD15" s="1">
        <v>106.29316398015963</v>
      </c>
      <c r="AE15" s="1">
        <v>104.63405887149916</v>
      </c>
      <c r="AF15" s="1">
        <v>103.23986866067884</v>
      </c>
      <c r="AG15" s="1">
        <v>102.04694482705139</v>
      </c>
      <c r="AH15" s="1">
        <v>100.98943344986182</v>
      </c>
      <c r="AI15" s="14">
        <v>100</v>
      </c>
      <c r="AJ15" s="11">
        <f t="shared" si="1"/>
        <v>19</v>
      </c>
    </row>
    <row r="16" spans="2:36" x14ac:dyDescent="0.3">
      <c r="C16" s="21"/>
      <c r="E16" s="12">
        <f t="shared" si="0"/>
        <v>5.862068965517242E-2</v>
      </c>
      <c r="F16" s="2">
        <v>300</v>
      </c>
      <c r="G16" s="1">
        <v>287.1287964242664</v>
      </c>
      <c r="H16" s="1">
        <v>274.3288285717307</v>
      </c>
      <c r="I16" s="1">
        <v>261.67044111219025</v>
      </c>
      <c r="J16" s="1">
        <v>249.22220970094287</v>
      </c>
      <c r="K16" s="1">
        <v>237.05008892167641</v>
      </c>
      <c r="L16" s="1">
        <v>225.21659839339401</v>
      </c>
      <c r="M16" s="1">
        <v>213.78005849750139</v>
      </c>
      <c r="N16" s="1">
        <v>202.79388615199716</v>
      </c>
      <c r="O16" s="1">
        <v>192.30595983933091</v>
      </c>
      <c r="P16" s="1">
        <v>182.35806172249525</v>
      </c>
      <c r="Q16" s="1">
        <v>172.9854032036119</v>
      </c>
      <c r="R16" s="1">
        <v>164.21623873582917</v>
      </c>
      <c r="S16" s="1">
        <v>156.07157113785962</v>
      </c>
      <c r="T16" s="1">
        <v>148.56495012413899</v>
      </c>
      <c r="U16" s="1">
        <v>141.70236429194321</v>
      </c>
      <c r="V16" s="1">
        <v>135.48222543435213</v>
      </c>
      <c r="W16" s="1">
        <v>129.89544280295902</v>
      </c>
      <c r="X16" s="1">
        <v>124.92558384789983</v>
      </c>
      <c r="Y16" s="1">
        <v>120.54911702881192</v>
      </c>
      <c r="Z16" s="1">
        <v>116.73573152484605</v>
      </c>
      <c r="AA16" s="1">
        <v>113.44872807362285</v>
      </c>
      <c r="AB16" s="1">
        <v>110.64547473011825</v>
      </c>
      <c r="AC16" s="1">
        <v>108.27792104307861</v>
      </c>
      <c r="AD16" s="1">
        <v>106.29316398015965</v>
      </c>
      <c r="AE16" s="1">
        <v>104.63405887149916</v>
      </c>
      <c r="AF16" s="1">
        <v>103.23986866067884</v>
      </c>
      <c r="AG16" s="1">
        <v>102.04694482705139</v>
      </c>
      <c r="AH16" s="1">
        <v>100.98943344986182</v>
      </c>
      <c r="AI16" s="14">
        <v>100</v>
      </c>
      <c r="AJ16" s="11">
        <f t="shared" si="1"/>
        <v>18</v>
      </c>
    </row>
    <row r="17" spans="2:36" x14ac:dyDescent="0.3">
      <c r="B17" s="8" t="s">
        <v>11</v>
      </c>
      <c r="C17" s="24">
        <f>C12/C5^2</f>
        <v>3868599.9999999991</v>
      </c>
      <c r="E17" s="12">
        <f t="shared" si="0"/>
        <v>5.5172413793103454E-2</v>
      </c>
      <c r="F17" s="2">
        <v>300</v>
      </c>
      <c r="G17" s="1">
        <v>287.1287964242664</v>
      </c>
      <c r="H17" s="1">
        <v>274.3288285717307</v>
      </c>
      <c r="I17" s="1">
        <v>261.67044111219013</v>
      </c>
      <c r="J17" s="1">
        <v>249.22220970094281</v>
      </c>
      <c r="K17" s="1">
        <v>237.05008892167638</v>
      </c>
      <c r="L17" s="1">
        <v>225.21659839339401</v>
      </c>
      <c r="M17" s="1">
        <v>213.78005849750139</v>
      </c>
      <c r="N17" s="1">
        <v>202.79388615199713</v>
      </c>
      <c r="O17" s="1">
        <v>192.30595983933088</v>
      </c>
      <c r="P17" s="1">
        <v>182.35806172249522</v>
      </c>
      <c r="Q17" s="1">
        <v>172.9854032036119</v>
      </c>
      <c r="R17" s="1">
        <v>164.21623873582914</v>
      </c>
      <c r="S17" s="1">
        <v>156.07157113785962</v>
      </c>
      <c r="T17" s="1">
        <v>148.56495012413899</v>
      </c>
      <c r="U17" s="1">
        <v>141.70236429194321</v>
      </c>
      <c r="V17" s="1">
        <v>135.48222543435213</v>
      </c>
      <c r="W17" s="1">
        <v>129.89544280295905</v>
      </c>
      <c r="X17" s="1">
        <v>124.92558384789984</v>
      </c>
      <c r="Y17" s="1">
        <v>120.54911702881193</v>
      </c>
      <c r="Z17" s="1">
        <v>116.73573152484605</v>
      </c>
      <c r="AA17" s="1">
        <v>113.44872807362285</v>
      </c>
      <c r="AB17" s="1">
        <v>110.64547473011825</v>
      </c>
      <c r="AC17" s="1">
        <v>108.27792104307861</v>
      </c>
      <c r="AD17" s="1">
        <v>106.29316398015965</v>
      </c>
      <c r="AE17" s="1">
        <v>104.63405887149916</v>
      </c>
      <c r="AF17" s="1">
        <v>103.23986866067884</v>
      </c>
      <c r="AG17" s="1">
        <v>102.04694482705139</v>
      </c>
      <c r="AH17" s="1">
        <v>100.98943344986179</v>
      </c>
      <c r="AI17" s="14">
        <v>100</v>
      </c>
      <c r="AJ17" s="11">
        <f t="shared" si="1"/>
        <v>17</v>
      </c>
    </row>
    <row r="18" spans="2:36" x14ac:dyDescent="0.3">
      <c r="B18" s="8" t="s">
        <v>12</v>
      </c>
      <c r="C18" s="24">
        <f>(2*C12/C5^2)+(C11*C10/C8)</f>
        <v>11325199.999999998</v>
      </c>
      <c r="E18" s="12">
        <f t="shared" si="0"/>
        <v>5.1724137931034489E-2</v>
      </c>
      <c r="F18" s="2">
        <v>300</v>
      </c>
      <c r="G18" s="1">
        <v>287.1287964242664</v>
      </c>
      <c r="H18" s="1">
        <v>274.3288285717307</v>
      </c>
      <c r="I18" s="1">
        <v>261.67044111219019</v>
      </c>
      <c r="J18" s="1">
        <v>249.22220970094284</v>
      </c>
      <c r="K18" s="1">
        <v>237.05008892167643</v>
      </c>
      <c r="L18" s="1">
        <v>225.21659839339404</v>
      </c>
      <c r="M18" s="1">
        <v>213.78005849750141</v>
      </c>
      <c r="N18" s="1">
        <v>202.79388615199716</v>
      </c>
      <c r="O18" s="1">
        <v>192.30595983933091</v>
      </c>
      <c r="P18" s="1">
        <v>182.35806172249525</v>
      </c>
      <c r="Q18" s="1">
        <v>172.9854032036119</v>
      </c>
      <c r="R18" s="1">
        <v>164.21623873582917</v>
      </c>
      <c r="S18" s="1">
        <v>156.07157113785962</v>
      </c>
      <c r="T18" s="1">
        <v>148.56495012413902</v>
      </c>
      <c r="U18" s="1">
        <v>141.70236429194324</v>
      </c>
      <c r="V18" s="1">
        <v>135.48222543435213</v>
      </c>
      <c r="W18" s="1">
        <v>129.89544280295908</v>
      </c>
      <c r="X18" s="1">
        <v>124.92558384789986</v>
      </c>
      <c r="Y18" s="1">
        <v>120.54911702881198</v>
      </c>
      <c r="Z18" s="1">
        <v>116.73573152484607</v>
      </c>
      <c r="AA18" s="1">
        <v>113.44872807362287</v>
      </c>
      <c r="AB18" s="1">
        <v>110.64547473011828</v>
      </c>
      <c r="AC18" s="1">
        <v>108.27792104307863</v>
      </c>
      <c r="AD18" s="1">
        <v>106.29316398015968</v>
      </c>
      <c r="AE18" s="1">
        <v>104.63405887149919</v>
      </c>
      <c r="AF18" s="1">
        <v>103.23986866067884</v>
      </c>
      <c r="AG18" s="1">
        <v>102.04694482705141</v>
      </c>
      <c r="AH18" s="1">
        <v>100.98943344986181</v>
      </c>
      <c r="AI18" s="14">
        <v>100</v>
      </c>
      <c r="AJ18" s="11">
        <f t="shared" si="1"/>
        <v>16</v>
      </c>
    </row>
    <row r="19" spans="2:36" x14ac:dyDescent="0.3">
      <c r="B19" s="8" t="s">
        <v>13</v>
      </c>
      <c r="C19" s="24">
        <f>C17</f>
        <v>3868599.9999999991</v>
      </c>
      <c r="E19" s="12">
        <f t="shared" si="0"/>
        <v>4.8275862068965524E-2</v>
      </c>
      <c r="F19" s="2">
        <v>300</v>
      </c>
      <c r="G19" s="1">
        <v>287.1287964242664</v>
      </c>
      <c r="H19" s="1">
        <v>274.3288285717307</v>
      </c>
      <c r="I19" s="1">
        <v>261.67044111219025</v>
      </c>
      <c r="J19" s="1">
        <v>249.22220970094287</v>
      </c>
      <c r="K19" s="1">
        <v>237.05008892167643</v>
      </c>
      <c r="L19" s="1">
        <v>225.21659839339407</v>
      </c>
      <c r="M19" s="1">
        <v>213.78005849750144</v>
      </c>
      <c r="N19" s="1">
        <v>202.79388615199716</v>
      </c>
      <c r="O19" s="1">
        <v>192.30595983933091</v>
      </c>
      <c r="P19" s="1">
        <v>182.35806172249528</v>
      </c>
      <c r="Q19" s="1">
        <v>172.9854032036119</v>
      </c>
      <c r="R19" s="1">
        <v>164.21623873582917</v>
      </c>
      <c r="S19" s="1">
        <v>156.07157113785962</v>
      </c>
      <c r="T19" s="1">
        <v>148.56495012413902</v>
      </c>
      <c r="U19" s="1">
        <v>141.70236429194324</v>
      </c>
      <c r="V19" s="1">
        <v>135.48222543435213</v>
      </c>
      <c r="W19" s="1">
        <v>129.89544280295908</v>
      </c>
      <c r="X19" s="1">
        <v>124.92558384789987</v>
      </c>
      <c r="Y19" s="1">
        <v>120.54911702881199</v>
      </c>
      <c r="Z19" s="1">
        <v>116.73573152484609</v>
      </c>
      <c r="AA19" s="1">
        <v>113.44872807362287</v>
      </c>
      <c r="AB19" s="1">
        <v>110.64547473011828</v>
      </c>
      <c r="AC19" s="1">
        <v>108.27792104307866</v>
      </c>
      <c r="AD19" s="1">
        <v>106.29316398015968</v>
      </c>
      <c r="AE19" s="1">
        <v>104.63405887149921</v>
      </c>
      <c r="AF19" s="1">
        <v>103.23986866067884</v>
      </c>
      <c r="AG19" s="1">
        <v>102.04694482705142</v>
      </c>
      <c r="AH19" s="1">
        <v>100.98943344986182</v>
      </c>
      <c r="AI19" s="14">
        <v>100</v>
      </c>
      <c r="AJ19" s="11">
        <f t="shared" si="1"/>
        <v>15</v>
      </c>
    </row>
    <row r="20" spans="2:36" x14ac:dyDescent="0.3">
      <c r="C20" s="21"/>
      <c r="E20" s="12">
        <f t="shared" si="0"/>
        <v>4.4827586206896558E-2</v>
      </c>
      <c r="F20" s="2">
        <v>300</v>
      </c>
      <c r="G20" s="1">
        <v>287.1287964242664</v>
      </c>
      <c r="H20" s="1">
        <v>274.3288285717307</v>
      </c>
      <c r="I20" s="1">
        <v>261.67044111219019</v>
      </c>
      <c r="J20" s="1">
        <v>249.22220970094281</v>
      </c>
      <c r="K20" s="1">
        <v>237.05008892167641</v>
      </c>
      <c r="L20" s="1">
        <v>225.21659839339404</v>
      </c>
      <c r="M20" s="1">
        <v>213.78005849750144</v>
      </c>
      <c r="N20" s="1">
        <v>202.79388615199716</v>
      </c>
      <c r="O20" s="1">
        <v>192.30595983933091</v>
      </c>
      <c r="P20" s="1">
        <v>182.35806172249528</v>
      </c>
      <c r="Q20" s="1">
        <v>172.9854032036119</v>
      </c>
      <c r="R20" s="1">
        <v>164.21623873582917</v>
      </c>
      <c r="S20" s="1">
        <v>156.07157113785962</v>
      </c>
      <c r="T20" s="1">
        <v>148.56495012413902</v>
      </c>
      <c r="U20" s="1">
        <v>141.70236429194324</v>
      </c>
      <c r="V20" s="1">
        <v>135.48222543435213</v>
      </c>
      <c r="W20" s="1">
        <v>129.89544280295908</v>
      </c>
      <c r="X20" s="1">
        <v>124.92558384789987</v>
      </c>
      <c r="Y20" s="1">
        <v>120.54911702881198</v>
      </c>
      <c r="Z20" s="1">
        <v>116.7357315248461</v>
      </c>
      <c r="AA20" s="1">
        <v>113.44872807362287</v>
      </c>
      <c r="AB20" s="1">
        <v>110.64547473011827</v>
      </c>
      <c r="AC20" s="1">
        <v>108.27792104307866</v>
      </c>
      <c r="AD20" s="1">
        <v>106.29316398015968</v>
      </c>
      <c r="AE20" s="1">
        <v>104.63405887149921</v>
      </c>
      <c r="AF20" s="1">
        <v>103.23986866067884</v>
      </c>
      <c r="AG20" s="1">
        <v>102.04694482705142</v>
      </c>
      <c r="AH20" s="1">
        <v>100.98943344986182</v>
      </c>
      <c r="AI20" s="14">
        <v>100</v>
      </c>
      <c r="AJ20" s="11">
        <f t="shared" si="1"/>
        <v>14</v>
      </c>
    </row>
    <row r="21" spans="2:36" x14ac:dyDescent="0.3">
      <c r="B21" s="9" t="s">
        <v>11</v>
      </c>
      <c r="C21" s="25">
        <f>C12/C6^2</f>
        <v>3868599.9999999991</v>
      </c>
      <c r="E21" s="12">
        <f t="shared" si="0"/>
        <v>4.1379310344827593E-2</v>
      </c>
      <c r="F21" s="2">
        <v>300</v>
      </c>
      <c r="G21" s="1">
        <v>287.1287964242664</v>
      </c>
      <c r="H21" s="1">
        <v>274.32882857173064</v>
      </c>
      <c r="I21" s="1">
        <v>261.67044111219013</v>
      </c>
      <c r="J21" s="1">
        <v>249.22220970094281</v>
      </c>
      <c r="K21" s="1">
        <v>237.05008892167638</v>
      </c>
      <c r="L21" s="1">
        <v>225.21659839339401</v>
      </c>
      <c r="M21" s="1">
        <v>213.78005849750144</v>
      </c>
      <c r="N21" s="1">
        <v>202.79388615199716</v>
      </c>
      <c r="O21" s="1">
        <v>192.30595983933091</v>
      </c>
      <c r="P21" s="1">
        <v>182.35806172249525</v>
      </c>
      <c r="Q21" s="1">
        <v>172.9854032036119</v>
      </c>
      <c r="R21" s="1">
        <v>164.21623873582917</v>
      </c>
      <c r="S21" s="1">
        <v>156.07157113785962</v>
      </c>
      <c r="T21" s="1">
        <v>148.56495012413899</v>
      </c>
      <c r="U21" s="1">
        <v>141.70236429194324</v>
      </c>
      <c r="V21" s="1">
        <v>135.4822254343521</v>
      </c>
      <c r="W21" s="1">
        <v>129.89544280295905</v>
      </c>
      <c r="X21" s="1">
        <v>124.92558384789987</v>
      </c>
      <c r="Y21" s="1">
        <v>120.54911702881196</v>
      </c>
      <c r="Z21" s="1">
        <v>116.7357315248461</v>
      </c>
      <c r="AA21" s="1">
        <v>113.44872807362287</v>
      </c>
      <c r="AB21" s="1">
        <v>110.64547473011825</v>
      </c>
      <c r="AC21" s="1">
        <v>108.27792104307865</v>
      </c>
      <c r="AD21" s="1">
        <v>106.29316398015966</v>
      </c>
      <c r="AE21" s="1">
        <v>104.63405887149921</v>
      </c>
      <c r="AF21" s="1">
        <v>103.23986866067884</v>
      </c>
      <c r="AG21" s="1">
        <v>102.04694482705141</v>
      </c>
      <c r="AH21" s="1">
        <v>100.98943344986182</v>
      </c>
      <c r="AI21" s="14">
        <v>100</v>
      </c>
      <c r="AJ21" s="11">
        <f t="shared" si="1"/>
        <v>13</v>
      </c>
    </row>
    <row r="22" spans="2:36" x14ac:dyDescent="0.3">
      <c r="B22" s="9" t="s">
        <v>12</v>
      </c>
      <c r="C22" s="25">
        <f>(2*C12/C6^2)+(C11*C10/C8)</f>
        <v>11325199.999999998</v>
      </c>
      <c r="E22" s="12">
        <f t="shared" si="0"/>
        <v>3.7931034482758627E-2</v>
      </c>
      <c r="F22" s="2">
        <v>300</v>
      </c>
      <c r="G22" s="1">
        <v>287.1287964242664</v>
      </c>
      <c r="H22" s="1">
        <v>274.3288285717307</v>
      </c>
      <c r="I22" s="1">
        <v>261.67044111219013</v>
      </c>
      <c r="J22" s="1">
        <v>249.22220970094281</v>
      </c>
      <c r="K22" s="1">
        <v>237.05008892167638</v>
      </c>
      <c r="L22" s="1">
        <v>225.21659839339401</v>
      </c>
      <c r="M22" s="1">
        <v>213.78005849750144</v>
      </c>
      <c r="N22" s="1">
        <v>202.79388615199716</v>
      </c>
      <c r="O22" s="1">
        <v>192.30595983933091</v>
      </c>
      <c r="P22" s="1">
        <v>182.35806172249525</v>
      </c>
      <c r="Q22" s="1">
        <v>172.9854032036119</v>
      </c>
      <c r="R22" s="1">
        <v>164.21623873582917</v>
      </c>
      <c r="S22" s="1">
        <v>156.07157113785962</v>
      </c>
      <c r="T22" s="1">
        <v>148.56495012413899</v>
      </c>
      <c r="U22" s="1">
        <v>141.70236429194324</v>
      </c>
      <c r="V22" s="1">
        <v>135.4822254343521</v>
      </c>
      <c r="W22" s="1">
        <v>129.89544280295905</v>
      </c>
      <c r="X22" s="1">
        <v>124.92558384789987</v>
      </c>
      <c r="Y22" s="1">
        <v>120.54911702881196</v>
      </c>
      <c r="Z22" s="1">
        <v>116.7357315248461</v>
      </c>
      <c r="AA22" s="1">
        <v>113.44872807362287</v>
      </c>
      <c r="AB22" s="1">
        <v>110.64547473011825</v>
      </c>
      <c r="AC22" s="1">
        <v>108.27792104307863</v>
      </c>
      <c r="AD22" s="1">
        <v>106.29316398015968</v>
      </c>
      <c r="AE22" s="1">
        <v>104.63405887149921</v>
      </c>
      <c r="AF22" s="1">
        <v>103.23986866067884</v>
      </c>
      <c r="AG22" s="1">
        <v>102.04694482705141</v>
      </c>
      <c r="AH22" s="1">
        <v>100.98943344986182</v>
      </c>
      <c r="AI22" s="14">
        <v>100</v>
      </c>
      <c r="AJ22" s="11">
        <f t="shared" si="1"/>
        <v>12</v>
      </c>
    </row>
    <row r="23" spans="2:36" x14ac:dyDescent="0.3">
      <c r="B23" s="9" t="s">
        <v>13</v>
      </c>
      <c r="C23" s="25">
        <f>C21</f>
        <v>3868599.9999999991</v>
      </c>
      <c r="E23" s="12">
        <f t="shared" si="0"/>
        <v>3.4482758620689662E-2</v>
      </c>
      <c r="F23" s="2">
        <v>300</v>
      </c>
      <c r="G23" s="1">
        <v>287.1287964242664</v>
      </c>
      <c r="H23" s="1">
        <v>274.3288285717307</v>
      </c>
      <c r="I23" s="1">
        <v>261.67044111219019</v>
      </c>
      <c r="J23" s="1">
        <v>249.22220970094287</v>
      </c>
      <c r="K23" s="1">
        <v>237.05008892167638</v>
      </c>
      <c r="L23" s="1">
        <v>225.21659839339407</v>
      </c>
      <c r="M23" s="1">
        <v>213.78005849750144</v>
      </c>
      <c r="N23" s="1">
        <v>202.79388615199716</v>
      </c>
      <c r="O23" s="1">
        <v>192.30595983933091</v>
      </c>
      <c r="P23" s="1">
        <v>182.35806172249528</v>
      </c>
      <c r="Q23" s="1">
        <v>172.98540320361192</v>
      </c>
      <c r="R23" s="1">
        <v>164.21623873582917</v>
      </c>
      <c r="S23" s="1">
        <v>156.07157113785962</v>
      </c>
      <c r="T23" s="1">
        <v>148.56495012413899</v>
      </c>
      <c r="U23" s="1">
        <v>141.70236429194324</v>
      </c>
      <c r="V23" s="1">
        <v>135.48222543435213</v>
      </c>
      <c r="W23" s="1">
        <v>129.89544280295908</v>
      </c>
      <c r="X23" s="1">
        <v>124.92558384789987</v>
      </c>
      <c r="Y23" s="1">
        <v>120.54911702881196</v>
      </c>
      <c r="Z23" s="1">
        <v>116.7357315248461</v>
      </c>
      <c r="AA23" s="1">
        <v>113.44872807362289</v>
      </c>
      <c r="AB23" s="1">
        <v>110.64547473011825</v>
      </c>
      <c r="AC23" s="1">
        <v>108.27792104307863</v>
      </c>
      <c r="AD23" s="1">
        <v>106.29316398015969</v>
      </c>
      <c r="AE23" s="1">
        <v>104.63405887149921</v>
      </c>
      <c r="AF23" s="1">
        <v>103.23986866067885</v>
      </c>
      <c r="AG23" s="1">
        <v>102.04694482705141</v>
      </c>
      <c r="AH23" s="1">
        <v>100.98943344986182</v>
      </c>
      <c r="AI23" s="14">
        <v>100</v>
      </c>
      <c r="AJ23" s="11">
        <f t="shared" si="1"/>
        <v>11</v>
      </c>
    </row>
    <row r="24" spans="2:36" x14ac:dyDescent="0.3">
      <c r="E24" s="12">
        <f t="shared" si="0"/>
        <v>3.1034482758620693E-2</v>
      </c>
      <c r="F24" s="2">
        <v>300</v>
      </c>
      <c r="G24" s="1">
        <v>287.1287964242664</v>
      </c>
      <c r="H24" s="1">
        <v>274.3288285717307</v>
      </c>
      <c r="I24" s="1">
        <v>261.67044111219025</v>
      </c>
      <c r="J24" s="1">
        <v>249.22220970094284</v>
      </c>
      <c r="K24" s="1">
        <v>237.05008892167638</v>
      </c>
      <c r="L24" s="1">
        <v>225.21659839339407</v>
      </c>
      <c r="M24" s="1">
        <v>213.78005849750144</v>
      </c>
      <c r="N24" s="1">
        <v>202.79388615199713</v>
      </c>
      <c r="O24" s="1">
        <v>192.30595983933091</v>
      </c>
      <c r="P24" s="1">
        <v>182.35806172249528</v>
      </c>
      <c r="Q24" s="1">
        <v>172.98540320361192</v>
      </c>
      <c r="R24" s="1">
        <v>164.21623873582917</v>
      </c>
      <c r="S24" s="1">
        <v>156.07157113785962</v>
      </c>
      <c r="T24" s="1">
        <v>148.56495012413899</v>
      </c>
      <c r="U24" s="1">
        <v>141.70236429194324</v>
      </c>
      <c r="V24" s="1">
        <v>135.48222543435213</v>
      </c>
      <c r="W24" s="1">
        <v>129.89544280295905</v>
      </c>
      <c r="X24" s="1">
        <v>124.92558384789987</v>
      </c>
      <c r="Y24" s="1">
        <v>120.54911702881196</v>
      </c>
      <c r="Z24" s="1">
        <v>116.73573152484607</v>
      </c>
      <c r="AA24" s="1">
        <v>113.44872807362287</v>
      </c>
      <c r="AB24" s="1">
        <v>110.64547473011825</v>
      </c>
      <c r="AC24" s="1">
        <v>108.27792104307863</v>
      </c>
      <c r="AD24" s="1">
        <v>106.29316398015968</v>
      </c>
      <c r="AE24" s="1">
        <v>104.63405887149919</v>
      </c>
      <c r="AF24" s="1">
        <v>103.23986866067884</v>
      </c>
      <c r="AG24" s="1">
        <v>102.04694482705139</v>
      </c>
      <c r="AH24" s="1">
        <v>100.98943344986182</v>
      </c>
      <c r="AI24" s="14">
        <v>100</v>
      </c>
      <c r="AJ24" s="11">
        <f t="shared" si="1"/>
        <v>10</v>
      </c>
    </row>
    <row r="25" spans="2:36" x14ac:dyDescent="0.3">
      <c r="E25" s="12">
        <f t="shared" si="0"/>
        <v>2.7586206896551727E-2</v>
      </c>
      <c r="F25" s="2">
        <v>300</v>
      </c>
      <c r="G25" s="1">
        <v>287.1287964242664</v>
      </c>
      <c r="H25" s="1">
        <v>274.32882857173064</v>
      </c>
      <c r="I25" s="1">
        <v>261.67044111219019</v>
      </c>
      <c r="J25" s="1">
        <v>249.22220970094281</v>
      </c>
      <c r="K25" s="1">
        <v>237.05008892167632</v>
      </c>
      <c r="L25" s="1">
        <v>225.21659839339401</v>
      </c>
      <c r="M25" s="1">
        <v>213.78005849750139</v>
      </c>
      <c r="N25" s="1">
        <v>202.79388615199713</v>
      </c>
      <c r="O25" s="1">
        <v>192.30595983933088</v>
      </c>
      <c r="P25" s="1">
        <v>182.35806172249522</v>
      </c>
      <c r="Q25" s="1">
        <v>172.9854032036119</v>
      </c>
      <c r="R25" s="1">
        <v>164.21623873582917</v>
      </c>
      <c r="S25" s="1">
        <v>156.07157113785959</v>
      </c>
      <c r="T25" s="1">
        <v>148.56495012413896</v>
      </c>
      <c r="U25" s="1">
        <v>141.70236429194321</v>
      </c>
      <c r="V25" s="1">
        <v>135.48222543435207</v>
      </c>
      <c r="W25" s="1">
        <v>129.89544280295902</v>
      </c>
      <c r="X25" s="1">
        <v>124.92558384789982</v>
      </c>
      <c r="Y25" s="1">
        <v>120.54911702881193</v>
      </c>
      <c r="Z25" s="1">
        <v>116.73573152484605</v>
      </c>
      <c r="AA25" s="1">
        <v>113.44872807362285</v>
      </c>
      <c r="AB25" s="1">
        <v>110.64547473011822</v>
      </c>
      <c r="AC25" s="1">
        <v>108.27792104307861</v>
      </c>
      <c r="AD25" s="1">
        <v>106.29316398015965</v>
      </c>
      <c r="AE25" s="1">
        <v>104.63405887149915</v>
      </c>
      <c r="AF25" s="1">
        <v>103.23986866067882</v>
      </c>
      <c r="AG25" s="1">
        <v>102.04694482705139</v>
      </c>
      <c r="AH25" s="1">
        <v>100.98943344986182</v>
      </c>
      <c r="AI25" s="14">
        <v>100</v>
      </c>
      <c r="AJ25" s="11">
        <f t="shared" si="1"/>
        <v>9</v>
      </c>
    </row>
    <row r="26" spans="2:36" x14ac:dyDescent="0.3">
      <c r="E26" s="12">
        <f t="shared" si="0"/>
        <v>2.4137931034482762E-2</v>
      </c>
      <c r="F26" s="2">
        <v>300</v>
      </c>
      <c r="G26" s="1">
        <v>287.1287964242664</v>
      </c>
      <c r="H26" s="1">
        <v>274.32882857173058</v>
      </c>
      <c r="I26" s="1">
        <v>261.67044111219013</v>
      </c>
      <c r="J26" s="1">
        <v>249.22220970094276</v>
      </c>
      <c r="K26" s="1">
        <v>237.05008892167632</v>
      </c>
      <c r="L26" s="1">
        <v>225.21659839339395</v>
      </c>
      <c r="M26" s="1">
        <v>213.78005849750133</v>
      </c>
      <c r="N26" s="1">
        <v>202.79388615199707</v>
      </c>
      <c r="O26" s="1">
        <v>192.30595983933085</v>
      </c>
      <c r="P26" s="1">
        <v>182.35806172249522</v>
      </c>
      <c r="Q26" s="1">
        <v>172.98540320361187</v>
      </c>
      <c r="R26" s="1">
        <v>164.21623873582914</v>
      </c>
      <c r="S26" s="1">
        <v>156.07157113785956</v>
      </c>
      <c r="T26" s="1">
        <v>148.56495012413893</v>
      </c>
      <c r="U26" s="1">
        <v>141.70236429194318</v>
      </c>
      <c r="V26" s="1">
        <v>135.48222543435207</v>
      </c>
      <c r="W26" s="1">
        <v>129.895442802959</v>
      </c>
      <c r="X26" s="1">
        <v>124.9255838478998</v>
      </c>
      <c r="Y26" s="1">
        <v>120.54911702881191</v>
      </c>
      <c r="Z26" s="1">
        <v>116.73573152484605</v>
      </c>
      <c r="AA26" s="1">
        <v>113.44872807362283</v>
      </c>
      <c r="AB26" s="1">
        <v>110.64547473011822</v>
      </c>
      <c r="AC26" s="1">
        <v>108.27792104307858</v>
      </c>
      <c r="AD26" s="1">
        <v>106.29316398015962</v>
      </c>
      <c r="AE26" s="1">
        <v>104.63405887149914</v>
      </c>
      <c r="AF26" s="1">
        <v>103.23986866067881</v>
      </c>
      <c r="AG26" s="1">
        <v>102.04694482705136</v>
      </c>
      <c r="AH26" s="1">
        <v>100.98943344986181</v>
      </c>
      <c r="AI26" s="14">
        <v>100</v>
      </c>
      <c r="AJ26" s="11">
        <f t="shared" si="1"/>
        <v>8</v>
      </c>
    </row>
    <row r="27" spans="2:36" x14ac:dyDescent="0.3">
      <c r="E27" s="12">
        <f t="shared" si="0"/>
        <v>2.0689655172413796E-2</v>
      </c>
      <c r="F27" s="2">
        <v>300</v>
      </c>
      <c r="G27" s="1">
        <v>287.12879642426634</v>
      </c>
      <c r="H27" s="1">
        <v>274.32882857173053</v>
      </c>
      <c r="I27" s="1">
        <v>261.67044111219013</v>
      </c>
      <c r="J27" s="1">
        <v>249.22220970094273</v>
      </c>
      <c r="K27" s="1">
        <v>237.05008892167626</v>
      </c>
      <c r="L27" s="1">
        <v>225.21659839339389</v>
      </c>
      <c r="M27" s="1">
        <v>213.78005849750127</v>
      </c>
      <c r="N27" s="1">
        <v>202.79388615199701</v>
      </c>
      <c r="O27" s="1">
        <v>192.3059598393308</v>
      </c>
      <c r="P27" s="1">
        <v>182.35806172249517</v>
      </c>
      <c r="Q27" s="1">
        <v>172.98540320361184</v>
      </c>
      <c r="R27" s="1">
        <v>164.21623873582911</v>
      </c>
      <c r="S27" s="1">
        <v>156.07157113785956</v>
      </c>
      <c r="T27" s="1">
        <v>148.56495012413893</v>
      </c>
      <c r="U27" s="1">
        <v>141.70236429194316</v>
      </c>
      <c r="V27" s="1">
        <v>135.48222543435205</v>
      </c>
      <c r="W27" s="1">
        <v>129.895442802959</v>
      </c>
      <c r="X27" s="1">
        <v>124.92558384789979</v>
      </c>
      <c r="Y27" s="1">
        <v>120.54911702881191</v>
      </c>
      <c r="Z27" s="1">
        <v>116.73573152484603</v>
      </c>
      <c r="AA27" s="1">
        <v>113.44872807362282</v>
      </c>
      <c r="AB27" s="1">
        <v>110.64547473011822</v>
      </c>
      <c r="AC27" s="1">
        <v>108.27792104307858</v>
      </c>
      <c r="AD27" s="1">
        <v>106.2931639801596</v>
      </c>
      <c r="AE27" s="1">
        <v>104.63405887149912</v>
      </c>
      <c r="AF27" s="1">
        <v>103.23986866067878</v>
      </c>
      <c r="AG27" s="1">
        <v>102.04694482705136</v>
      </c>
      <c r="AH27" s="1">
        <v>100.98943344986179</v>
      </c>
      <c r="AI27" s="14">
        <v>100</v>
      </c>
      <c r="AJ27" s="11">
        <f t="shared" si="1"/>
        <v>7</v>
      </c>
    </row>
    <row r="28" spans="2:36" x14ac:dyDescent="0.3">
      <c r="E28" s="12">
        <f t="shared" si="0"/>
        <v>1.7241379310344831E-2</v>
      </c>
      <c r="F28" s="2">
        <v>300</v>
      </c>
      <c r="G28" s="1">
        <v>287.1287964242664</v>
      </c>
      <c r="H28" s="1">
        <v>274.32882857173058</v>
      </c>
      <c r="I28" s="1">
        <v>261.67044111219013</v>
      </c>
      <c r="J28" s="1">
        <v>249.22220970094278</v>
      </c>
      <c r="K28" s="1">
        <v>237.05008892167632</v>
      </c>
      <c r="L28" s="1">
        <v>225.21659839339392</v>
      </c>
      <c r="M28" s="1">
        <v>213.78005849750127</v>
      </c>
      <c r="N28" s="1">
        <v>202.79388615199704</v>
      </c>
      <c r="O28" s="1">
        <v>192.3059598393308</v>
      </c>
      <c r="P28" s="1">
        <v>182.35806172249519</v>
      </c>
      <c r="Q28" s="1">
        <v>172.98540320361184</v>
      </c>
      <c r="R28" s="1">
        <v>164.21623873582914</v>
      </c>
      <c r="S28" s="1">
        <v>156.07157113785956</v>
      </c>
      <c r="T28" s="1">
        <v>148.56495012413893</v>
      </c>
      <c r="U28" s="1">
        <v>141.70236429194318</v>
      </c>
      <c r="V28" s="1">
        <v>135.48222543435207</v>
      </c>
      <c r="W28" s="1">
        <v>129.89544280295902</v>
      </c>
      <c r="X28" s="1">
        <v>124.92558384789982</v>
      </c>
      <c r="Y28" s="1">
        <v>120.54911702881191</v>
      </c>
      <c r="Z28" s="1">
        <v>116.73573152484605</v>
      </c>
      <c r="AA28" s="1">
        <v>113.44872807362283</v>
      </c>
      <c r="AB28" s="1">
        <v>110.64547473011822</v>
      </c>
      <c r="AC28" s="1">
        <v>108.27792104307858</v>
      </c>
      <c r="AD28" s="1">
        <v>106.29316398015962</v>
      </c>
      <c r="AE28" s="1">
        <v>104.63405887149915</v>
      </c>
      <c r="AF28" s="1">
        <v>103.23986866067879</v>
      </c>
      <c r="AG28" s="1">
        <v>102.04694482705136</v>
      </c>
      <c r="AH28" s="1">
        <v>100.98943344986179</v>
      </c>
      <c r="AI28" s="14">
        <v>100</v>
      </c>
      <c r="AJ28" s="11">
        <f t="shared" si="1"/>
        <v>6</v>
      </c>
    </row>
    <row r="29" spans="2:36" x14ac:dyDescent="0.3">
      <c r="E29" s="12">
        <f t="shared" si="0"/>
        <v>1.3793103448275864E-2</v>
      </c>
      <c r="F29" s="2">
        <v>300</v>
      </c>
      <c r="G29" s="1">
        <v>287.1287964242664</v>
      </c>
      <c r="H29" s="1">
        <v>274.32882857173064</v>
      </c>
      <c r="I29" s="1">
        <v>261.67044111219013</v>
      </c>
      <c r="J29" s="1">
        <v>249.22220970094278</v>
      </c>
      <c r="K29" s="1">
        <v>237.05008892167632</v>
      </c>
      <c r="L29" s="1">
        <v>225.21659839339395</v>
      </c>
      <c r="M29" s="1">
        <v>213.7800584975013</v>
      </c>
      <c r="N29" s="1">
        <v>202.79388615199707</v>
      </c>
      <c r="O29" s="1">
        <v>192.30595983933085</v>
      </c>
      <c r="P29" s="1">
        <v>182.35806172249522</v>
      </c>
      <c r="Q29" s="1">
        <v>172.98540320361187</v>
      </c>
      <c r="R29" s="1">
        <v>164.21623873582917</v>
      </c>
      <c r="S29" s="1">
        <v>156.07157113785956</v>
      </c>
      <c r="T29" s="1">
        <v>148.56495012413893</v>
      </c>
      <c r="U29" s="1">
        <v>141.70236429194318</v>
      </c>
      <c r="V29" s="1">
        <v>135.48222543435207</v>
      </c>
      <c r="W29" s="1">
        <v>129.89544280295905</v>
      </c>
      <c r="X29" s="1">
        <v>124.92558384789983</v>
      </c>
      <c r="Y29" s="1">
        <v>120.54911702881191</v>
      </c>
      <c r="Z29" s="1">
        <v>116.73573152484605</v>
      </c>
      <c r="AA29" s="1">
        <v>113.44872807362283</v>
      </c>
      <c r="AB29" s="1">
        <v>110.64547473011824</v>
      </c>
      <c r="AC29" s="1">
        <v>108.27792104307858</v>
      </c>
      <c r="AD29" s="1">
        <v>106.29316398015962</v>
      </c>
      <c r="AE29" s="1">
        <v>104.63405887149916</v>
      </c>
      <c r="AF29" s="1">
        <v>103.23986866067881</v>
      </c>
      <c r="AG29" s="1">
        <v>102.04694482705136</v>
      </c>
      <c r="AH29" s="1">
        <v>100.98943344986181</v>
      </c>
      <c r="AI29" s="14">
        <v>100</v>
      </c>
      <c r="AJ29" s="11">
        <f t="shared" si="1"/>
        <v>5</v>
      </c>
    </row>
    <row r="30" spans="2:36" x14ac:dyDescent="0.3">
      <c r="E30" s="12">
        <f t="shared" si="0"/>
        <v>1.0344827586206898E-2</v>
      </c>
      <c r="F30" s="2">
        <v>300</v>
      </c>
      <c r="G30" s="1">
        <v>287.1287964242664</v>
      </c>
      <c r="H30" s="1">
        <v>274.3288285717307</v>
      </c>
      <c r="I30" s="1">
        <v>261.67044111219013</v>
      </c>
      <c r="J30" s="1">
        <v>249.22220970094276</v>
      </c>
      <c r="K30" s="1">
        <v>237.05008892167632</v>
      </c>
      <c r="L30" s="1">
        <v>225.21659839339401</v>
      </c>
      <c r="M30" s="1">
        <v>213.78005849750133</v>
      </c>
      <c r="N30" s="1">
        <v>202.7938861519971</v>
      </c>
      <c r="O30" s="1">
        <v>192.30595983933088</v>
      </c>
      <c r="P30" s="1">
        <v>182.35806172249522</v>
      </c>
      <c r="Q30" s="1">
        <v>172.9854032036119</v>
      </c>
      <c r="R30" s="1">
        <v>164.21623873582917</v>
      </c>
      <c r="S30" s="1">
        <v>156.07157113785956</v>
      </c>
      <c r="T30" s="1">
        <v>148.56495012413896</v>
      </c>
      <c r="U30" s="1">
        <v>141.70236429194318</v>
      </c>
      <c r="V30" s="1">
        <v>135.48222543435207</v>
      </c>
      <c r="W30" s="1">
        <v>129.89544280295905</v>
      </c>
      <c r="X30" s="1">
        <v>124.92558384789984</v>
      </c>
      <c r="Y30" s="1">
        <v>120.54911702881195</v>
      </c>
      <c r="Z30" s="1">
        <v>116.73573152484606</v>
      </c>
      <c r="AA30" s="1">
        <v>113.44872807362285</v>
      </c>
      <c r="AB30" s="1">
        <v>110.64547473011825</v>
      </c>
      <c r="AC30" s="1">
        <v>108.27792104307861</v>
      </c>
      <c r="AD30" s="1">
        <v>106.29316398015963</v>
      </c>
      <c r="AE30" s="1">
        <v>104.63405887149918</v>
      </c>
      <c r="AF30" s="1">
        <v>103.23986866067882</v>
      </c>
      <c r="AG30" s="1">
        <v>102.04694482705138</v>
      </c>
      <c r="AH30" s="1">
        <v>100.98943344986182</v>
      </c>
      <c r="AI30" s="14">
        <v>100</v>
      </c>
      <c r="AJ30" s="11">
        <f t="shared" si="1"/>
        <v>4</v>
      </c>
    </row>
    <row r="31" spans="2:36" x14ac:dyDescent="0.3">
      <c r="E31" s="12">
        <f t="shared" si="0"/>
        <v>6.8965517241379318E-3</v>
      </c>
      <c r="F31" s="2">
        <v>300</v>
      </c>
      <c r="G31" s="1">
        <v>287.1287964242664</v>
      </c>
      <c r="H31" s="1">
        <v>274.3288285717307</v>
      </c>
      <c r="I31" s="1">
        <v>261.67044111219013</v>
      </c>
      <c r="J31" s="1">
        <v>249.22220970094278</v>
      </c>
      <c r="K31" s="1">
        <v>237.05008892167632</v>
      </c>
      <c r="L31" s="1">
        <v>225.21659839339398</v>
      </c>
      <c r="M31" s="1">
        <v>213.78005849750133</v>
      </c>
      <c r="N31" s="1">
        <v>202.79388615199713</v>
      </c>
      <c r="O31" s="1">
        <v>192.30595983933088</v>
      </c>
      <c r="P31" s="1">
        <v>182.35806172249522</v>
      </c>
      <c r="Q31" s="1">
        <v>172.9854032036119</v>
      </c>
      <c r="R31" s="1">
        <v>164.21623873582917</v>
      </c>
      <c r="S31" s="1">
        <v>156.07157113785956</v>
      </c>
      <c r="T31" s="1">
        <v>148.56495012413896</v>
      </c>
      <c r="U31" s="1">
        <v>141.70236429194318</v>
      </c>
      <c r="V31" s="1">
        <v>135.48222543435207</v>
      </c>
      <c r="W31" s="1">
        <v>129.89544280295905</v>
      </c>
      <c r="X31" s="1">
        <v>124.92558384789986</v>
      </c>
      <c r="Y31" s="1">
        <v>120.54911702881195</v>
      </c>
      <c r="Z31" s="1">
        <v>116.73573152484607</v>
      </c>
      <c r="AA31" s="1">
        <v>113.44872807362285</v>
      </c>
      <c r="AB31" s="1">
        <v>110.64547473011825</v>
      </c>
      <c r="AC31" s="1">
        <v>108.27792104307861</v>
      </c>
      <c r="AD31" s="1">
        <v>106.29316398015965</v>
      </c>
      <c r="AE31" s="1">
        <v>104.63405887149918</v>
      </c>
      <c r="AF31" s="1">
        <v>103.23986866067882</v>
      </c>
      <c r="AG31" s="1">
        <v>102.04694482705139</v>
      </c>
      <c r="AH31" s="1">
        <v>100.98943344986182</v>
      </c>
      <c r="AI31" s="14">
        <v>100</v>
      </c>
      <c r="AJ31" s="11">
        <f t="shared" si="1"/>
        <v>3</v>
      </c>
    </row>
    <row r="32" spans="2:36" x14ac:dyDescent="0.3">
      <c r="E32" s="12">
        <f>E33+$C$6</f>
        <v>3.4482758620689659E-3</v>
      </c>
      <c r="F32" s="2">
        <v>300</v>
      </c>
      <c r="G32" s="1">
        <v>287.1287964242664</v>
      </c>
      <c r="H32" s="1">
        <v>274.3288285717307</v>
      </c>
      <c r="I32" s="1">
        <v>261.67044111219013</v>
      </c>
      <c r="J32" s="1">
        <v>249.22220970094281</v>
      </c>
      <c r="K32" s="1">
        <v>237.05008892167632</v>
      </c>
      <c r="L32" s="1">
        <v>225.21659839339398</v>
      </c>
      <c r="M32" s="1">
        <v>213.78005849750133</v>
      </c>
      <c r="N32" s="1">
        <v>202.79388615199713</v>
      </c>
      <c r="O32" s="1">
        <v>192.30595983933088</v>
      </c>
      <c r="P32" s="1">
        <v>182.35806172249522</v>
      </c>
      <c r="Q32" s="1">
        <v>172.9854032036119</v>
      </c>
      <c r="R32" s="1">
        <v>164.21623873582917</v>
      </c>
      <c r="S32" s="1">
        <v>156.07157113785956</v>
      </c>
      <c r="T32" s="1">
        <v>148.56495012413896</v>
      </c>
      <c r="U32" s="1">
        <v>141.70236429194318</v>
      </c>
      <c r="V32" s="1">
        <v>135.48222543435207</v>
      </c>
      <c r="W32" s="1">
        <v>129.89544280295905</v>
      </c>
      <c r="X32" s="1">
        <v>124.92558384789986</v>
      </c>
      <c r="Y32" s="1">
        <v>120.54911702881196</v>
      </c>
      <c r="Z32" s="1">
        <v>116.73573152484607</v>
      </c>
      <c r="AA32" s="1">
        <v>113.44872807362285</v>
      </c>
      <c r="AB32" s="1">
        <v>110.64547473011825</v>
      </c>
      <c r="AC32" s="1">
        <v>108.27792104307861</v>
      </c>
      <c r="AD32" s="1">
        <v>106.29316398015965</v>
      </c>
      <c r="AE32" s="1">
        <v>104.63405887149918</v>
      </c>
      <c r="AF32" s="1">
        <v>103.23986866067882</v>
      </c>
      <c r="AG32" s="1">
        <v>102.04694482705139</v>
      </c>
      <c r="AH32" s="1">
        <v>100.98943344986182</v>
      </c>
      <c r="AI32" s="14">
        <v>100</v>
      </c>
      <c r="AJ32" s="11">
        <f>AJ33+1</f>
        <v>2</v>
      </c>
    </row>
    <row r="33" spans="5:131" x14ac:dyDescent="0.3">
      <c r="E33" s="12">
        <v>0</v>
      </c>
      <c r="F33" s="2">
        <v>300</v>
      </c>
      <c r="G33" s="1">
        <v>287.1287964242664</v>
      </c>
      <c r="H33" s="1">
        <v>274.3288285717307</v>
      </c>
      <c r="I33" s="1">
        <v>261.67044111219013</v>
      </c>
      <c r="J33" s="1">
        <v>249.22220970094281</v>
      </c>
      <c r="K33" s="1">
        <v>237.05008892167632</v>
      </c>
      <c r="L33" s="1">
        <v>225.21659839339398</v>
      </c>
      <c r="M33" s="1">
        <v>213.78005849750133</v>
      </c>
      <c r="N33" s="1">
        <v>202.79388615199713</v>
      </c>
      <c r="O33" s="1">
        <v>192.30595983933088</v>
      </c>
      <c r="P33" s="1">
        <v>182.35806172249522</v>
      </c>
      <c r="Q33" s="1">
        <v>172.9854032036119</v>
      </c>
      <c r="R33" s="1">
        <v>164.21623873582917</v>
      </c>
      <c r="S33" s="1">
        <v>156.07157113785956</v>
      </c>
      <c r="T33" s="1">
        <v>148.56495012413896</v>
      </c>
      <c r="U33" s="1">
        <v>141.70236429194318</v>
      </c>
      <c r="V33" s="1">
        <v>135.48222543435207</v>
      </c>
      <c r="W33" s="1">
        <v>129.89544280295905</v>
      </c>
      <c r="X33" s="1">
        <v>124.92558384789986</v>
      </c>
      <c r="Y33" s="1">
        <v>120.54911702881196</v>
      </c>
      <c r="Z33" s="1">
        <v>116.73573152484607</v>
      </c>
      <c r="AA33" s="1">
        <v>113.44872807362285</v>
      </c>
      <c r="AB33" s="1">
        <v>110.64547473011825</v>
      </c>
      <c r="AC33" s="1">
        <v>108.27792104307861</v>
      </c>
      <c r="AD33" s="1">
        <v>106.29316398015965</v>
      </c>
      <c r="AE33" s="1">
        <v>104.63405887149918</v>
      </c>
      <c r="AF33" s="1">
        <v>103.23986866067882</v>
      </c>
      <c r="AG33" s="1">
        <v>102.04694482705139</v>
      </c>
      <c r="AH33" s="1">
        <v>100.98943344986182</v>
      </c>
      <c r="AI33" s="14">
        <v>100</v>
      </c>
      <c r="AJ33" s="11">
        <v>1</v>
      </c>
    </row>
    <row r="34" spans="5:131" x14ac:dyDescent="0.3">
      <c r="E34" s="11"/>
      <c r="F34" s="11">
        <v>0</v>
      </c>
      <c r="G34" s="12">
        <f>F34+$C$5</f>
        <v>3.4482758620689659E-3</v>
      </c>
      <c r="H34" s="12">
        <f t="shared" ref="H34:AI34" si="2">G34+$C$5</f>
        <v>6.8965517241379318E-3</v>
      </c>
      <c r="I34" s="12">
        <f t="shared" si="2"/>
        <v>1.0344827586206898E-2</v>
      </c>
      <c r="J34" s="12">
        <f t="shared" si="2"/>
        <v>1.3793103448275864E-2</v>
      </c>
      <c r="K34" s="12">
        <f t="shared" si="2"/>
        <v>1.7241379310344831E-2</v>
      </c>
      <c r="L34" s="12">
        <f t="shared" si="2"/>
        <v>2.0689655172413796E-2</v>
      </c>
      <c r="M34" s="12">
        <f t="shared" si="2"/>
        <v>2.4137931034482762E-2</v>
      </c>
      <c r="N34" s="12">
        <f t="shared" si="2"/>
        <v>2.7586206896551727E-2</v>
      </c>
      <c r="O34" s="12">
        <f t="shared" si="2"/>
        <v>3.1034482758620693E-2</v>
      </c>
      <c r="P34" s="12">
        <f t="shared" si="2"/>
        <v>3.4482758620689662E-2</v>
      </c>
      <c r="Q34" s="12">
        <f t="shared" si="2"/>
        <v>3.7931034482758627E-2</v>
      </c>
      <c r="R34" s="12">
        <f t="shared" si="2"/>
        <v>4.1379310344827593E-2</v>
      </c>
      <c r="S34" s="12">
        <f t="shared" si="2"/>
        <v>4.4827586206896558E-2</v>
      </c>
      <c r="T34" s="12">
        <f t="shared" si="2"/>
        <v>4.8275862068965524E-2</v>
      </c>
      <c r="U34" s="12">
        <f t="shared" si="2"/>
        <v>5.1724137931034489E-2</v>
      </c>
      <c r="V34" s="12">
        <f t="shared" si="2"/>
        <v>5.5172413793103454E-2</v>
      </c>
      <c r="W34" s="12">
        <f t="shared" si="2"/>
        <v>5.862068965517242E-2</v>
      </c>
      <c r="X34" s="12">
        <f t="shared" si="2"/>
        <v>6.2068965517241385E-2</v>
      </c>
      <c r="Y34" s="12">
        <f t="shared" si="2"/>
        <v>6.5517241379310351E-2</v>
      </c>
      <c r="Z34" s="12">
        <f t="shared" si="2"/>
        <v>6.8965517241379323E-2</v>
      </c>
      <c r="AA34" s="12">
        <f t="shared" si="2"/>
        <v>7.2413793103448296E-2</v>
      </c>
      <c r="AB34" s="12">
        <f t="shared" si="2"/>
        <v>7.5862068965517268E-2</v>
      </c>
      <c r="AC34" s="12">
        <f t="shared" si="2"/>
        <v>7.931034482758624E-2</v>
      </c>
      <c r="AD34" s="12">
        <f t="shared" si="2"/>
        <v>8.2758620689655213E-2</v>
      </c>
      <c r="AE34" s="12">
        <f t="shared" si="2"/>
        <v>8.6206896551724185E-2</v>
      </c>
      <c r="AF34" s="12">
        <f t="shared" si="2"/>
        <v>8.9655172413793158E-2</v>
      </c>
      <c r="AG34" s="12">
        <f t="shared" si="2"/>
        <v>9.310344827586213E-2</v>
      </c>
      <c r="AH34" s="12">
        <f t="shared" si="2"/>
        <v>9.6551724137931103E-2</v>
      </c>
      <c r="AI34" s="12">
        <f t="shared" si="2"/>
        <v>0.10000000000000007</v>
      </c>
      <c r="AJ34" s="10"/>
    </row>
    <row r="35" spans="5:131" x14ac:dyDescent="0.3">
      <c r="AL35">
        <v>1</v>
      </c>
      <c r="AM35">
        <v>2</v>
      </c>
      <c r="AN35">
        <v>3</v>
      </c>
      <c r="AO35">
        <v>4</v>
      </c>
      <c r="AP35">
        <v>5</v>
      </c>
      <c r="AQ35">
        <v>6</v>
      </c>
      <c r="AR35">
        <v>7</v>
      </c>
      <c r="AS35">
        <v>8</v>
      </c>
      <c r="AT35">
        <v>9</v>
      </c>
      <c r="AU35">
        <v>10</v>
      </c>
      <c r="AV35">
        <v>11</v>
      </c>
      <c r="AW35">
        <v>12</v>
      </c>
      <c r="AX35">
        <v>13</v>
      </c>
      <c r="AY35">
        <v>14</v>
      </c>
      <c r="AZ35">
        <v>15</v>
      </c>
      <c r="BA35">
        <v>16</v>
      </c>
      <c r="BB35">
        <v>17</v>
      </c>
      <c r="BC35">
        <v>18</v>
      </c>
      <c r="BD35">
        <v>19</v>
      </c>
      <c r="BE35">
        <v>20</v>
      </c>
      <c r="BF35">
        <v>21</v>
      </c>
      <c r="BG35">
        <v>22</v>
      </c>
      <c r="BH35">
        <v>23</v>
      </c>
      <c r="BI35">
        <v>24</v>
      </c>
      <c r="BJ35">
        <v>25</v>
      </c>
      <c r="BK35">
        <v>26</v>
      </c>
      <c r="BL35">
        <v>27</v>
      </c>
      <c r="BM35">
        <v>28</v>
      </c>
      <c r="BN35">
        <v>29</v>
      </c>
      <c r="BO35">
        <v>30</v>
      </c>
      <c r="BR35">
        <v>1</v>
      </c>
      <c r="BS35">
        <v>2</v>
      </c>
      <c r="BT35">
        <v>3</v>
      </c>
      <c r="BU35">
        <v>4</v>
      </c>
      <c r="BV35">
        <v>5</v>
      </c>
      <c r="BW35">
        <v>6</v>
      </c>
      <c r="BX35">
        <v>7</v>
      </c>
      <c r="BY35">
        <v>8</v>
      </c>
      <c r="BZ35">
        <v>9</v>
      </c>
      <c r="CA35">
        <v>10</v>
      </c>
      <c r="CB35">
        <v>11</v>
      </c>
      <c r="CC35">
        <v>12</v>
      </c>
      <c r="CD35">
        <v>13</v>
      </c>
      <c r="CE35">
        <v>14</v>
      </c>
      <c r="CF35">
        <v>15</v>
      </c>
      <c r="CG35">
        <v>16</v>
      </c>
      <c r="CH35">
        <v>17</v>
      </c>
      <c r="CI35">
        <v>18</v>
      </c>
      <c r="CJ35">
        <v>19</v>
      </c>
      <c r="CK35">
        <v>20</v>
      </c>
      <c r="CL35">
        <v>21</v>
      </c>
      <c r="CM35">
        <v>22</v>
      </c>
      <c r="CN35">
        <v>23</v>
      </c>
      <c r="CO35">
        <v>24</v>
      </c>
      <c r="CP35">
        <v>25</v>
      </c>
      <c r="CQ35">
        <v>26</v>
      </c>
      <c r="CR35">
        <v>27</v>
      </c>
      <c r="CS35">
        <v>28</v>
      </c>
      <c r="CT35">
        <v>29</v>
      </c>
      <c r="CU35">
        <v>30</v>
      </c>
      <c r="CX35">
        <v>1</v>
      </c>
      <c r="CY35">
        <v>2</v>
      </c>
      <c r="CZ35">
        <v>3</v>
      </c>
      <c r="DA35">
        <v>4</v>
      </c>
      <c r="DB35">
        <v>5</v>
      </c>
      <c r="DC35">
        <v>6</v>
      </c>
      <c r="DD35">
        <v>7</v>
      </c>
      <c r="DE35">
        <v>8</v>
      </c>
      <c r="DF35">
        <v>9</v>
      </c>
      <c r="DG35">
        <v>10</v>
      </c>
      <c r="DH35">
        <v>11</v>
      </c>
      <c r="DI35">
        <v>12</v>
      </c>
      <c r="DJ35">
        <v>13</v>
      </c>
      <c r="DK35">
        <v>14</v>
      </c>
      <c r="DL35">
        <v>15</v>
      </c>
      <c r="DM35">
        <v>16</v>
      </c>
      <c r="DN35">
        <v>17</v>
      </c>
      <c r="DO35">
        <v>18</v>
      </c>
      <c r="DP35">
        <v>19</v>
      </c>
      <c r="DQ35">
        <v>20</v>
      </c>
      <c r="DR35">
        <v>21</v>
      </c>
      <c r="DS35">
        <v>22</v>
      </c>
      <c r="DT35">
        <v>23</v>
      </c>
      <c r="DU35">
        <v>24</v>
      </c>
      <c r="DV35">
        <v>25</v>
      </c>
      <c r="DW35">
        <v>26</v>
      </c>
      <c r="DX35">
        <v>27</v>
      </c>
      <c r="DY35">
        <v>28</v>
      </c>
      <c r="DZ35">
        <v>29</v>
      </c>
      <c r="EA35">
        <v>30</v>
      </c>
    </row>
    <row r="36" spans="5:131" x14ac:dyDescent="0.3">
      <c r="E36" s="32" t="s">
        <v>14</v>
      </c>
      <c r="F36" s="17">
        <f>BR36*G36+CX36</f>
        <v>300</v>
      </c>
      <c r="G36" s="17">
        <f>BS36*H36+CY36</f>
        <v>287.20458331740861</v>
      </c>
      <c r="H36" s="17">
        <f t="shared" ref="F36:AH51" si="3">BT36*I36+CZ36</f>
        <v>274.47945650003862</v>
      </c>
      <c r="I36" s="17">
        <f t="shared" si="3"/>
        <v>261.89403216076676</v>
      </c>
      <c r="J36" s="17">
        <f t="shared" si="3"/>
        <v>249.51598120780869</v>
      </c>
      <c r="K36" s="17">
        <f t="shared" si="3"/>
        <v>237.41039372138528</v>
      </c>
      <c r="L36" s="17">
        <f t="shared" si="3"/>
        <v>225.63897715502503</v>
      </c>
      <c r="M36" s="17">
        <f t="shared" si="3"/>
        <v>214.25930307864405</v>
      </c>
      <c r="N36" s="17">
        <f t="shared" si="3"/>
        <v>203.32411268037441</v>
      </c>
      <c r="O36" s="17">
        <f t="shared" si="3"/>
        <v>192.88069004920891</v>
      </c>
      <c r="P36" s="17">
        <f t="shared" si="3"/>
        <v>182.9703108945061</v>
      </c>
      <c r="Q36" s="17">
        <f t="shared" si="3"/>
        <v>173.62777282680537</v>
      </c>
      <c r="R36" s="17">
        <f t="shared" si="3"/>
        <v>164.88101157966486</v>
      </c>
      <c r="S36" s="17">
        <f t="shared" si="3"/>
        <v>156.75080540766373</v>
      </c>
      <c r="T36" s="17">
        <f t="shared" si="3"/>
        <v>149.25056681051117</v>
      </c>
      <c r="U36" s="17">
        <f t="shared" si="3"/>
        <v>142.3862152708742</v>
      </c>
      <c r="V36" s="17">
        <f t="shared" si="3"/>
        <v>136.15611315283832</v>
      </c>
      <c r="W36" s="17">
        <f t="shared" si="3"/>
        <v>130.55101985813127</v>
      </c>
      <c r="X36" s="17">
        <f t="shared" si="3"/>
        <v>125.55395284527279</v>
      </c>
      <c r="Y36" s="17">
        <f t="shared" si="3"/>
        <v>121.13967753033486</v>
      </c>
      <c r="Z36" s="17">
        <f t="shared" si="3"/>
        <v>117.27312776972286</v>
      </c>
      <c r="AA36" s="17">
        <f t="shared" si="3"/>
        <v>113.90499545382443</v>
      </c>
      <c r="AB36" s="17">
        <f t="shared" si="3"/>
        <v>110.96003621349965</v>
      </c>
      <c r="AC36" s="17">
        <f t="shared" si="3"/>
        <v>108.30682246311267</v>
      </c>
      <c r="AD36" s="17">
        <f t="shared" si="3"/>
        <v>105.68041383475511</v>
      </c>
      <c r="AE36" s="17">
        <f t="shared" si="3"/>
        <v>102.48569948295479</v>
      </c>
      <c r="AF36" s="17">
        <f t="shared" si="3"/>
        <v>97.29845204784354</v>
      </c>
      <c r="AG36" s="17">
        <f t="shared" si="3"/>
        <v>86.600734983705678</v>
      </c>
      <c r="AH36" s="17">
        <f t="shared" si="3"/>
        <v>61.577163368070117</v>
      </c>
      <c r="AI36" s="17"/>
      <c r="AK36" s="30" t="s">
        <v>16</v>
      </c>
      <c r="AL36" s="3">
        <f>-($C$11*$C$10*F4/$C$8)</f>
        <v>-1076400000</v>
      </c>
      <c r="AM36" s="3">
        <f t="shared" ref="AM36:BO44" si="4">-($C$11*$C$10*G4/$C$8)</f>
        <v>-1030218121.5702672</v>
      </c>
      <c r="AN36" s="3">
        <f t="shared" si="4"/>
        <v>-984291836.91536856</v>
      </c>
      <c r="AO36" s="3">
        <f t="shared" si="4"/>
        <v>-938873542.71053743</v>
      </c>
      <c r="AP36" s="3">
        <f t="shared" si="4"/>
        <v>-894209288.40698183</v>
      </c>
      <c r="AQ36" s="3">
        <f t="shared" si="4"/>
        <v>-850535719.05097377</v>
      </c>
      <c r="AR36" s="3">
        <f t="shared" si="4"/>
        <v>-808077155.03549647</v>
      </c>
      <c r="AS36" s="3">
        <f t="shared" si="4"/>
        <v>-767042849.88903332</v>
      </c>
      <c r="AT36" s="3">
        <f t="shared" si="4"/>
        <v>-727624463.51336432</v>
      </c>
      <c r="AU36" s="3">
        <f t="shared" si="4"/>
        <v>-689993783.90351784</v>
      </c>
      <c r="AV36" s="3">
        <f t="shared" si="4"/>
        <v>-654300725.46031141</v>
      </c>
      <c r="AW36" s="3">
        <f t="shared" si="4"/>
        <v>-620671626.69455802</v>
      </c>
      <c r="AX36" s="3">
        <f t="shared" si="4"/>
        <v>-589207864.58415353</v>
      </c>
      <c r="AY36" s="3">
        <f t="shared" si="4"/>
        <v>-559984797.24263859</v>
      </c>
      <c r="AZ36" s="3">
        <f t="shared" si="4"/>
        <v>-533051041.04540914</v>
      </c>
      <c r="BA36" s="3">
        <f t="shared" si="4"/>
        <v>-508428083.07949072</v>
      </c>
      <c r="BB36" s="3">
        <f t="shared" si="4"/>
        <v>-486110224.85845399</v>
      </c>
      <c r="BC36" s="3">
        <f t="shared" si="4"/>
        <v>-466064848.77701575</v>
      </c>
      <c r="BD36" s="3">
        <f t="shared" si="4"/>
        <v>-448232994.84626329</v>
      </c>
      <c r="BE36" s="3">
        <f t="shared" si="4"/>
        <v>-432530231.89937609</v>
      </c>
      <c r="BF36" s="3">
        <f t="shared" si="4"/>
        <v>-418847804.71114671</v>
      </c>
      <c r="BG36" s="3">
        <f t="shared" si="4"/>
        <v>-407054036.32815784</v>
      </c>
      <c r="BH36" s="3">
        <f t="shared" si="4"/>
        <v>-396995963.33166343</v>
      </c>
      <c r="BI36" s="3">
        <f t="shared" si="4"/>
        <v>-388501180.70256531</v>
      </c>
      <c r="BJ36" s="3">
        <f t="shared" si="4"/>
        <v>-381379872.36081213</v>
      </c>
      <c r="BK36" s="3">
        <f t="shared" si="4"/>
        <v>-375427003.23093832</v>
      </c>
      <c r="BL36" s="3">
        <f t="shared" si="4"/>
        <v>-370424648.75451505</v>
      </c>
      <c r="BM36" s="3">
        <f t="shared" si="4"/>
        <v>-366144438.03946006</v>
      </c>
      <c r="BN36" s="3">
        <f t="shared" si="4"/>
        <v>-362350087.21810389</v>
      </c>
      <c r="BO36" s="3">
        <f t="shared" si="4"/>
        <v>-358800000</v>
      </c>
      <c r="BQ36" s="30" t="s">
        <v>15</v>
      </c>
      <c r="BR36" s="4">
        <v>0</v>
      </c>
      <c r="BS36" s="1">
        <f>$C$17/($C$18-$C$19*BR36)</f>
        <v>0.3415922014622258</v>
      </c>
      <c r="BT36" s="1">
        <f t="shared" ref="BT36:CU45" si="5">$C$17/($C$18-$C$19*BS36)</f>
        <v>0.3867162803971414</v>
      </c>
      <c r="BU36" s="1">
        <f t="shared" si="5"/>
        <v>0.39358441341045353</v>
      </c>
      <c r="BV36" s="1">
        <f t="shared" si="5"/>
        <v>0.39465123071155611</v>
      </c>
      <c r="BW36" s="1">
        <f t="shared" si="5"/>
        <v>0.39481745705771337</v>
      </c>
      <c r="BX36" s="1">
        <f t="shared" si="5"/>
        <v>0.39484337025824801</v>
      </c>
      <c r="BY36" s="1">
        <f t="shared" si="5"/>
        <v>0.39484741020089792</v>
      </c>
      <c r="BZ36" s="1">
        <f t="shared" si="5"/>
        <v>0.39484804004704999</v>
      </c>
      <c r="CA36" s="1">
        <f t="shared" si="5"/>
        <v>0.39484813824322279</v>
      </c>
      <c r="CB36" s="1">
        <f t="shared" si="5"/>
        <v>0.39484815355250286</v>
      </c>
      <c r="CC36" s="1">
        <f t="shared" si="5"/>
        <v>0.39484815593929717</v>
      </c>
      <c r="CD36" s="1">
        <f t="shared" si="5"/>
        <v>0.39484815631141046</v>
      </c>
      <c r="CE36" s="1">
        <f t="shared" si="5"/>
        <v>0.39484815636942483</v>
      </c>
      <c r="CF36" s="1">
        <f t="shared" si="5"/>
        <v>0.39484815637846954</v>
      </c>
      <c r="CG36" s="1">
        <f t="shared" si="5"/>
        <v>0.39484815637987963</v>
      </c>
      <c r="CH36" s="1">
        <f t="shared" si="5"/>
        <v>0.39484815638009951</v>
      </c>
      <c r="CI36" s="1">
        <f t="shared" si="5"/>
        <v>0.39484815638013382</v>
      </c>
      <c r="CJ36" s="1">
        <f t="shared" si="5"/>
        <v>0.39484815638013915</v>
      </c>
      <c r="CK36" s="1">
        <f t="shared" si="5"/>
        <v>0.39484815638013998</v>
      </c>
      <c r="CL36" s="1">
        <f t="shared" si="5"/>
        <v>0.39484815638014015</v>
      </c>
      <c r="CM36" s="1">
        <f t="shared" si="5"/>
        <v>0.39484815638014015</v>
      </c>
      <c r="CN36" s="1">
        <f t="shared" si="5"/>
        <v>0.39484815638014015</v>
      </c>
      <c r="CO36" s="1">
        <f t="shared" si="5"/>
        <v>0.39484815638014015</v>
      </c>
      <c r="CP36" s="1">
        <f t="shared" si="5"/>
        <v>0.39484815638014015</v>
      </c>
      <c r="CQ36" s="1">
        <f t="shared" si="5"/>
        <v>0.39484815638014015</v>
      </c>
      <c r="CR36" s="1">
        <f t="shared" si="5"/>
        <v>0.39484815638014015</v>
      </c>
      <c r="CS36" s="1">
        <f t="shared" si="5"/>
        <v>0.39484815638014015</v>
      </c>
      <c r="CT36" s="1">
        <f t="shared" si="5"/>
        <v>0.39484815638014015</v>
      </c>
      <c r="CU36" s="1">
        <f t="shared" si="5"/>
        <v>0.39484815638014015</v>
      </c>
      <c r="CW36" s="30" t="s">
        <v>17</v>
      </c>
      <c r="CX36" s="16">
        <f>F4</f>
        <v>300</v>
      </c>
      <c r="CY36">
        <f>(CX36*$C$19-AM36)/($C$18-$C$19*BR36)</f>
        <v>193.44454151540521</v>
      </c>
      <c r="CZ36">
        <f t="shared" ref="CZ36:DZ36" si="6">(CY36*$C$19-AN36)/($C$18-$C$19*BS36)</f>
        <v>173.20077052461761</v>
      </c>
      <c r="DA36">
        <f t="shared" si="6"/>
        <v>163.68843106055763</v>
      </c>
      <c r="DB36">
        <f t="shared" si="6"/>
        <v>155.8216771419489</v>
      </c>
      <c r="DC36">
        <f t="shared" si="6"/>
        <v>148.3241865479348</v>
      </c>
      <c r="DD36">
        <f t="shared" si="6"/>
        <v>141.04011181826982</v>
      </c>
      <c r="DE36">
        <f t="shared" si="6"/>
        <v>133.97730375540266</v>
      </c>
      <c r="DF36">
        <f t="shared" si="6"/>
        <v>127.16555025152174</v>
      </c>
      <c r="DG36">
        <f t="shared" si="6"/>
        <v>120.63520343872949</v>
      </c>
      <c r="DH36">
        <f t="shared" si="6"/>
        <v>114.41370538840856</v>
      </c>
      <c r="DI36">
        <f t="shared" si="6"/>
        <v>108.52480945516878</v>
      </c>
      <c r="DJ36">
        <f t="shared" si="6"/>
        <v>102.98824506412016</v>
      </c>
      <c r="DK36">
        <f t="shared" si="6"/>
        <v>97.819494265441747</v>
      </c>
      <c r="DL36">
        <f t="shared" si="6"/>
        <v>93.029632217098609</v>
      </c>
      <c r="DM36">
        <f t="shared" si="6"/>
        <v>88.625225012625705</v>
      </c>
      <c r="DN36">
        <f t="shared" si="6"/>
        <v>84.608283648313432</v>
      </c>
      <c r="DO36">
        <f t="shared" si="6"/>
        <v>80.976273050937067</v>
      </c>
      <c r="DP36">
        <f t="shared" si="6"/>
        <v>77.722174507935506</v>
      </c>
      <c r="DQ36">
        <f t="shared" si="6"/>
        <v>74.834599237527186</v>
      </c>
      <c r="DR36">
        <f t="shared" si="6"/>
        <v>72.297950312292045</v>
      </c>
      <c r="DS36">
        <f t="shared" si="6"/>
        <v>70.092629723050507</v>
      </c>
      <c r="DT36">
        <f t="shared" si="6"/>
        <v>68.195287040548465</v>
      </c>
      <c r="DU36">
        <f t="shared" si="6"/>
        <v>66.579105894969359</v>
      </c>
      <c r="DV36">
        <f t="shared" si="6"/>
        <v>65.214124338581342</v>
      </c>
      <c r="DW36">
        <f t="shared" si="6"/>
        <v>64.06758507322229</v>
      </c>
      <c r="DX36">
        <f t="shared" si="6"/>
        <v>63.10431149836225</v>
      </c>
      <c r="DY36">
        <f t="shared" si="6"/>
        <v>62.287105552704496</v>
      </c>
      <c r="DZ36">
        <f t="shared" si="6"/>
        <v>61.577163368070117</v>
      </c>
      <c r="EA36" s="16">
        <f t="shared" ref="EA36:EA44" si="7">(DZ36*$C$19-AI4)/($C$18-$C$19*CT36)</f>
        <v>24.313619224514177</v>
      </c>
    </row>
    <row r="37" spans="5:131" x14ac:dyDescent="0.3">
      <c r="E37" s="33"/>
      <c r="F37" s="17">
        <f t="shared" si="3"/>
        <v>300</v>
      </c>
      <c r="G37" s="17">
        <f t="shared" si="3"/>
        <v>287.20458331783175</v>
      </c>
      <c r="H37" s="15">
        <f t="shared" ref="H37:H65" si="8">BT37*I37+CZ37</f>
        <v>274.47945650127724</v>
      </c>
      <c r="I37" s="15">
        <f t="shared" ref="I37:I65" si="9">BU37*J37+DA37</f>
        <v>261.8940321639696</v>
      </c>
      <c r="J37" s="15">
        <f t="shared" ref="J37:J65" si="10">BV37*K37+DB37</f>
        <v>249.51598121594628</v>
      </c>
      <c r="K37" s="15">
        <f t="shared" ref="K37:K65" si="11">BW37*L37+DC37</f>
        <v>237.410393742005</v>
      </c>
      <c r="L37" s="15">
        <f t="shared" ref="L37:L65" si="12">BX37*M37+DD37</f>
        <v>225.638977207251</v>
      </c>
      <c r="M37" s="15">
        <f t="shared" ref="M37:M65" si="13">BY37*N37+DE37</f>
        <v>214.25930321091408</v>
      </c>
      <c r="N37" s="15">
        <f t="shared" ref="N37:N65" si="14">BZ37*O37+DF37</f>
        <v>203.32411301536473</v>
      </c>
      <c r="O37" s="15">
        <f t="shared" ref="O37:O65" si="15">CA37*P37+DG37</f>
        <v>192.88069089761203</v>
      </c>
      <c r="P37" s="15">
        <f t="shared" ref="P37:P65" si="16">CB37*Q37+DH37</f>
        <v>182.97031304318821</v>
      </c>
      <c r="Q37" s="15">
        <f t="shared" ref="Q37:Q65" si="17">CC37*R37+DI37</f>
        <v>173.62777826859889</v>
      </c>
      <c r="R37" s="15">
        <f t="shared" ref="R37:R65" si="18">CD37*S37+DJ37</f>
        <v>164.88102536165539</v>
      </c>
      <c r="S37" s="15">
        <f t="shared" ref="S37:T65" si="19">CE37*T37+DK37</f>
        <v>156.75084031219683</v>
      </c>
      <c r="T37" s="17">
        <f t="shared" si="3"/>
        <v>149.25065521039988</v>
      </c>
      <c r="U37" s="15">
        <f t="shared" ref="U37:U65" si="20">CG37*V37+DM37</f>
        <v>142.38643915412473</v>
      </c>
      <c r="V37" s="15">
        <f t="shared" ref="V37:V65" si="21">CH37*W37+DN37</f>
        <v>136.15668016384473</v>
      </c>
      <c r="W37" s="15">
        <f t="shared" ref="W37:W65" si="22">CI37*X37+DO37</f>
        <v>130.55245588106118</v>
      </c>
      <c r="X37" s="15">
        <f t="shared" ref="X37:X65" si="23">CJ37*Y37+DP37</f>
        <v>125.55758974443694</v>
      </c>
      <c r="Y37" s="15">
        <f t="shared" ref="Y37:Y65" si="24">CK37*Z37+DQ37</f>
        <v>121.14888841078439</v>
      </c>
      <c r="Z37" s="15">
        <f t="shared" ref="Z37:Z65" si="25">CL37*AA37+DR37</f>
        <v>117.29645542188661</v>
      </c>
      <c r="AA37" s="15">
        <f t="shared" ref="AA37:AA65" si="26">CM37*AB37+DS37</f>
        <v>113.96407551228945</v>
      </c>
      <c r="AB37" s="15">
        <f t="shared" ref="AB37:AB65" si="27">CN37*AC37+DT37</f>
        <v>111.10966350062353</v>
      </c>
      <c r="AC37" s="15">
        <f t="shared" ref="AC37:AC65" si="28">CO37*AD37+DU37</f>
        <v>108.68577139501502</v>
      </c>
      <c r="AD37" s="15">
        <f t="shared" ref="AD37:AD65" si="29">CP37*AE37+DV37</f>
        <v>106.64014715446075</v>
      </c>
      <c r="AE37" s="15">
        <f t="shared" ref="AE37:AE65" si="30">CQ37*AF37+DW37</f>
        <v>104.91633846200992</v>
      </c>
      <c r="AF37" s="15">
        <f t="shared" ref="AF37:AF65" si="31">CR37*AG37+DX37</f>
        <v>103.45433485945031</v>
      </c>
      <c r="AG37" s="15">
        <f t="shared" ref="AG37:AG65" si="32">CS37*AH37+DY37</f>
        <v>102.19124164338524</v>
      </c>
      <c r="AH37" s="15">
        <f t="shared" ref="AH37:AH65" si="33">CT37*AI37+DZ37</f>
        <v>101.06197900608413</v>
      </c>
      <c r="AI37" s="17">
        <f>AI4</f>
        <v>100</v>
      </c>
      <c r="AK37" s="31"/>
      <c r="AL37" s="3">
        <f t="shared" ref="AL37:AL65" si="34">-($C$11*$C$10*F5/$C$8)</f>
        <v>-1076400000</v>
      </c>
      <c r="AM37" s="3">
        <f t="shared" si="4"/>
        <v>-1030218121.5702672</v>
      </c>
      <c r="AN37" s="3">
        <f t="shared" si="4"/>
        <v>-984291836.91536856</v>
      </c>
      <c r="AO37" s="3">
        <f t="shared" si="4"/>
        <v>-938873542.71053743</v>
      </c>
      <c r="AP37" s="3">
        <f t="shared" si="4"/>
        <v>-894209288.40698183</v>
      </c>
      <c r="AQ37" s="3">
        <f t="shared" si="4"/>
        <v>-850535719.05097377</v>
      </c>
      <c r="AR37" s="3">
        <f t="shared" si="4"/>
        <v>-808077155.03549647</v>
      </c>
      <c r="AS37" s="3">
        <f t="shared" si="4"/>
        <v>-767042849.88903332</v>
      </c>
      <c r="AT37" s="3">
        <f t="shared" si="4"/>
        <v>-727624463.51336432</v>
      </c>
      <c r="AU37" s="3">
        <f t="shared" si="4"/>
        <v>-689993783.90351784</v>
      </c>
      <c r="AV37" s="3">
        <f t="shared" si="4"/>
        <v>-654300725.46031141</v>
      </c>
      <c r="AW37" s="3">
        <f t="shared" si="4"/>
        <v>-620671626.69455802</v>
      </c>
      <c r="AX37" s="3">
        <f t="shared" si="4"/>
        <v>-589207864.58415353</v>
      </c>
      <c r="AY37" s="3">
        <f t="shared" si="4"/>
        <v>-559984797.24263859</v>
      </c>
      <c r="AZ37" s="3">
        <f t="shared" si="4"/>
        <v>-533051041.04540914</v>
      </c>
      <c r="BA37" s="3">
        <f t="shared" si="4"/>
        <v>-508428083.07949072</v>
      </c>
      <c r="BB37" s="3">
        <f t="shared" si="4"/>
        <v>-486110224.85845399</v>
      </c>
      <c r="BC37" s="3">
        <f t="shared" si="4"/>
        <v>-466064848.77701575</v>
      </c>
      <c r="BD37" s="3">
        <f t="shared" si="4"/>
        <v>-448232994.84626329</v>
      </c>
      <c r="BE37" s="3">
        <f t="shared" si="4"/>
        <v>-432530231.89937609</v>
      </c>
      <c r="BF37" s="3">
        <f t="shared" si="4"/>
        <v>-418847804.71114671</v>
      </c>
      <c r="BG37" s="3">
        <f t="shared" si="4"/>
        <v>-407054036.32815784</v>
      </c>
      <c r="BH37" s="3">
        <f t="shared" si="4"/>
        <v>-396995963.33166343</v>
      </c>
      <c r="BI37" s="3">
        <f t="shared" si="4"/>
        <v>-388501180.70256531</v>
      </c>
      <c r="BJ37" s="3">
        <f t="shared" si="4"/>
        <v>-381379872.36081213</v>
      </c>
      <c r="BK37" s="3">
        <f t="shared" si="4"/>
        <v>-375427003.23093832</v>
      </c>
      <c r="BL37" s="3">
        <f t="shared" si="4"/>
        <v>-370424648.75451505</v>
      </c>
      <c r="BM37" s="3">
        <f t="shared" si="4"/>
        <v>-366144438.03946006</v>
      </c>
      <c r="BN37" s="3">
        <f t="shared" si="4"/>
        <v>-362350087.21810389</v>
      </c>
      <c r="BO37" s="3">
        <f t="shared" si="4"/>
        <v>-358800000</v>
      </c>
      <c r="BQ37" s="31"/>
      <c r="BR37" s="1">
        <v>0</v>
      </c>
      <c r="BS37" s="1">
        <f t="shared" ref="BS37:CH65" si="35">$C$17/($C$18-$C$19*BR37)</f>
        <v>0.3415922014622258</v>
      </c>
      <c r="BT37" s="1">
        <f t="shared" si="35"/>
        <v>0.3867162803971414</v>
      </c>
      <c r="BU37" s="1">
        <f t="shared" si="35"/>
        <v>0.39358441341045353</v>
      </c>
      <c r="BV37" s="1">
        <f t="shared" si="35"/>
        <v>0.39465123071155611</v>
      </c>
      <c r="BW37" s="1">
        <f t="shared" si="35"/>
        <v>0.39481745705771337</v>
      </c>
      <c r="BX37" s="1">
        <f t="shared" si="35"/>
        <v>0.39484337025824801</v>
      </c>
      <c r="BY37" s="1">
        <f t="shared" si="35"/>
        <v>0.39484741020089792</v>
      </c>
      <c r="BZ37" s="1">
        <f t="shared" si="35"/>
        <v>0.39484804004704999</v>
      </c>
      <c r="CA37" s="1">
        <f t="shared" si="35"/>
        <v>0.39484813824322279</v>
      </c>
      <c r="CB37" s="1">
        <f t="shared" si="35"/>
        <v>0.39484815355250286</v>
      </c>
      <c r="CC37" s="1">
        <f t="shared" si="35"/>
        <v>0.39484815593929717</v>
      </c>
      <c r="CD37" s="1">
        <f t="shared" si="35"/>
        <v>0.39484815631141046</v>
      </c>
      <c r="CE37" s="1">
        <f t="shared" si="35"/>
        <v>0.39484815636942483</v>
      </c>
      <c r="CF37" s="1">
        <f t="shared" si="35"/>
        <v>0.39484815637846954</v>
      </c>
      <c r="CG37" s="1">
        <f t="shared" si="35"/>
        <v>0.39484815637987963</v>
      </c>
      <c r="CH37" s="1">
        <f t="shared" si="35"/>
        <v>0.39484815638009951</v>
      </c>
      <c r="CI37" s="1">
        <f t="shared" si="5"/>
        <v>0.39484815638013382</v>
      </c>
      <c r="CJ37" s="1">
        <f t="shared" si="5"/>
        <v>0.39484815638013915</v>
      </c>
      <c r="CK37" s="1">
        <f t="shared" si="5"/>
        <v>0.39484815638013998</v>
      </c>
      <c r="CL37" s="1">
        <f t="shared" si="5"/>
        <v>0.39484815638014015</v>
      </c>
      <c r="CM37" s="1">
        <f t="shared" si="5"/>
        <v>0.39484815638014015</v>
      </c>
      <c r="CN37" s="1">
        <f t="shared" si="5"/>
        <v>0.39484815638014015</v>
      </c>
      <c r="CO37" s="1">
        <f t="shared" si="5"/>
        <v>0.39484815638014015</v>
      </c>
      <c r="CP37" s="1">
        <f t="shared" si="5"/>
        <v>0.39484815638014015</v>
      </c>
      <c r="CQ37" s="1">
        <f t="shared" si="5"/>
        <v>0.39484815638014015</v>
      </c>
      <c r="CR37" s="1">
        <f t="shared" si="5"/>
        <v>0.39484815638014015</v>
      </c>
      <c r="CS37" s="1">
        <f t="shared" si="5"/>
        <v>0.39484815638014015</v>
      </c>
      <c r="CT37" s="1">
        <f t="shared" si="5"/>
        <v>0.39484815638014015</v>
      </c>
      <c r="CU37" s="1">
        <f t="shared" si="5"/>
        <v>0.39484815638014015</v>
      </c>
      <c r="CW37" s="31"/>
      <c r="CX37" s="16">
        <f t="shared" ref="CX37:CX65" si="36">F5</f>
        <v>300</v>
      </c>
      <c r="CY37">
        <f t="shared" ref="CY37:CY65" si="37">(CX37*$C$19-AM37)/($C$18-$C$19*BR37)</f>
        <v>193.44454151540521</v>
      </c>
      <c r="CZ37">
        <f t="shared" ref="CZ37:CZ65" si="38">(CY37*$C$19-AN37)/($C$18-$C$19*BS37)</f>
        <v>173.20077052461761</v>
      </c>
      <c r="DA37">
        <f t="shared" ref="DA37:DA65" si="39">(CZ37*$C$19-AO37)/($C$18-$C$19*BT37)</f>
        <v>163.68843106055763</v>
      </c>
      <c r="DB37">
        <f t="shared" ref="DB37:DB65" si="40">(DA37*$C$19-AP37)/($C$18-$C$19*BU37)</f>
        <v>155.8216771419489</v>
      </c>
      <c r="DC37">
        <f t="shared" ref="DC37:DC65" si="41">(DB37*$C$19-AQ37)/($C$18-$C$19*BV37)</f>
        <v>148.3241865479348</v>
      </c>
      <c r="DD37">
        <f t="shared" ref="DD37:DD65" si="42">(DC37*$C$19-AR37)/($C$18-$C$19*BW37)</f>
        <v>141.04011181826982</v>
      </c>
      <c r="DE37">
        <f t="shared" ref="DE37:DE65" si="43">(DD37*$C$19-AS37)/($C$18-$C$19*BX37)</f>
        <v>133.97730375540266</v>
      </c>
      <c r="DF37">
        <f t="shared" ref="DF37:DF65" si="44">(DE37*$C$19-AT37)/($C$18-$C$19*BY37)</f>
        <v>127.16555025152174</v>
      </c>
      <c r="DG37">
        <f t="shared" ref="DG37:DG65" si="45">(DF37*$C$19-AU37)/($C$18-$C$19*BZ37)</f>
        <v>120.63520343872949</v>
      </c>
      <c r="DH37">
        <f t="shared" ref="DH37:DH65" si="46">(DG37*$C$19-AV37)/($C$18-$C$19*CA37)</f>
        <v>114.41370538840856</v>
      </c>
      <c r="DI37">
        <f t="shared" ref="DI37:DI65" si="47">(DH37*$C$19-AW37)/($C$18-$C$19*CB37)</f>
        <v>108.52480945516878</v>
      </c>
      <c r="DJ37">
        <f t="shared" ref="DJ37:DJ65" si="48">(DI37*$C$19-AX37)/($C$18-$C$19*CC37)</f>
        <v>102.98824506412016</v>
      </c>
      <c r="DK37">
        <f t="shared" ref="DK37:DK65" si="49">(DJ37*$C$19-AY37)/($C$18-$C$19*CD37)</f>
        <v>97.819494265441747</v>
      </c>
      <c r="DL37">
        <f t="shared" ref="DL37:DL65" si="50">(DK37*$C$19-AZ37)/($C$18-$C$19*CE37)</f>
        <v>93.029632217098609</v>
      </c>
      <c r="DM37">
        <f t="shared" ref="DM37:DM65" si="51">(DL37*$C$19-BA37)/($C$18-$C$19*CF37)</f>
        <v>88.625225012625705</v>
      </c>
      <c r="DN37">
        <f t="shared" ref="DN37:DN65" si="52">(DM37*$C$19-BB37)/($C$18-$C$19*CG37)</f>
        <v>84.608283648313432</v>
      </c>
      <c r="DO37">
        <f t="shared" ref="DO37:DO65" si="53">(DN37*$C$19-BC37)/($C$18-$C$19*CH37)</f>
        <v>80.976273050937067</v>
      </c>
      <c r="DP37">
        <f t="shared" ref="DP37:DP65" si="54">(DO37*$C$19-BD37)/($C$18-$C$19*CI37)</f>
        <v>77.722174507935506</v>
      </c>
      <c r="DQ37">
        <f t="shared" ref="DQ37:DQ65" si="55">(DP37*$C$19-BE37)/($C$18-$C$19*CJ37)</f>
        <v>74.834599237527186</v>
      </c>
      <c r="DR37">
        <f t="shared" ref="DR37:DR65" si="56">(DQ37*$C$19-BF37)/($C$18-$C$19*CK37)</f>
        <v>72.297950312292045</v>
      </c>
      <c r="DS37">
        <f t="shared" ref="DS37:DS65" si="57">(DR37*$C$19-BG37)/($C$18-$C$19*CL37)</f>
        <v>70.092629723050507</v>
      </c>
      <c r="DT37">
        <f t="shared" ref="DT37:DT65" si="58">(DS37*$C$19-BH37)/($C$18-$C$19*CM37)</f>
        <v>68.195287040548465</v>
      </c>
      <c r="DU37">
        <f t="shared" ref="DU37:DU65" si="59">(DT37*$C$19-BI37)/($C$18-$C$19*CN37)</f>
        <v>66.579105894969359</v>
      </c>
      <c r="DV37">
        <f t="shared" ref="DV37:DV65" si="60">(DU37*$C$19-BJ37)/($C$18-$C$19*CO37)</f>
        <v>65.214124338581342</v>
      </c>
      <c r="DW37">
        <f t="shared" ref="DW37:DW65" si="61">(DV37*$C$19-BK37)/($C$18-$C$19*CP37)</f>
        <v>64.06758507322229</v>
      </c>
      <c r="DX37">
        <f t="shared" ref="DX37:DX65" si="62">(DW37*$C$19-BL37)/($C$18-$C$19*CQ37)</f>
        <v>63.10431149836225</v>
      </c>
      <c r="DY37">
        <f t="shared" ref="DY37:DY65" si="63">(DX37*$C$19-BM37)/($C$18-$C$19*CR37)</f>
        <v>62.287105552704496</v>
      </c>
      <c r="DZ37">
        <f t="shared" ref="DZ37:DZ65" si="64">(DY37*$C$19-BN37)/($C$18-$C$19*CS37)</f>
        <v>61.577163368070117</v>
      </c>
      <c r="EA37" s="16">
        <f t="shared" si="7"/>
        <v>24.313619224514177</v>
      </c>
    </row>
    <row r="38" spans="5:131" x14ac:dyDescent="0.3">
      <c r="E38" s="33"/>
      <c r="F38" s="17">
        <f t="shared" si="3"/>
        <v>300</v>
      </c>
      <c r="G38" s="17">
        <f t="shared" si="3"/>
        <v>287.20458331783175</v>
      </c>
      <c r="H38" s="15">
        <f t="shared" si="8"/>
        <v>274.47945650127724</v>
      </c>
      <c r="I38" s="15">
        <f>BU38*J38+DA38</f>
        <v>261.8940321639696</v>
      </c>
      <c r="J38" s="15">
        <f t="shared" si="10"/>
        <v>249.51598121594628</v>
      </c>
      <c r="K38" s="15">
        <f t="shared" si="11"/>
        <v>237.410393742005</v>
      </c>
      <c r="L38" s="15">
        <f t="shared" si="12"/>
        <v>225.638977207251</v>
      </c>
      <c r="M38" s="15">
        <f t="shared" si="13"/>
        <v>214.25930321091408</v>
      </c>
      <c r="N38" s="15">
        <f t="shared" si="14"/>
        <v>203.32411301536473</v>
      </c>
      <c r="O38" s="15">
        <f t="shared" si="15"/>
        <v>192.88069089761203</v>
      </c>
      <c r="P38" s="15">
        <f t="shared" si="16"/>
        <v>182.97031304318821</v>
      </c>
      <c r="Q38" s="15">
        <f t="shared" si="17"/>
        <v>173.62777826859889</v>
      </c>
      <c r="R38" s="15">
        <f t="shared" si="18"/>
        <v>164.88102536165542</v>
      </c>
      <c r="S38" s="15">
        <f t="shared" si="19"/>
        <v>156.75084031219686</v>
      </c>
      <c r="T38" s="17">
        <f t="shared" si="3"/>
        <v>149.25065521039988</v>
      </c>
      <c r="U38" s="15">
        <f t="shared" si="20"/>
        <v>142.38643915412473</v>
      </c>
      <c r="V38" s="15">
        <f t="shared" si="21"/>
        <v>136.15668016384473</v>
      </c>
      <c r="W38" s="15">
        <f t="shared" si="22"/>
        <v>130.55245588106118</v>
      </c>
      <c r="X38" s="15">
        <f t="shared" si="23"/>
        <v>125.55758974443694</v>
      </c>
      <c r="Y38" s="15">
        <f t="shared" si="24"/>
        <v>121.14888841078439</v>
      </c>
      <c r="Z38" s="15">
        <f t="shared" si="25"/>
        <v>117.29645542188661</v>
      </c>
      <c r="AA38" s="15">
        <f t="shared" si="26"/>
        <v>113.96407551228945</v>
      </c>
      <c r="AB38" s="15">
        <f t="shared" si="27"/>
        <v>111.10966350062353</v>
      </c>
      <c r="AC38" s="15">
        <f t="shared" si="28"/>
        <v>108.68577139501502</v>
      </c>
      <c r="AD38" s="15">
        <f t="shared" si="29"/>
        <v>106.64014715446075</v>
      </c>
      <c r="AE38" s="15">
        <f t="shared" si="30"/>
        <v>104.91633846200992</v>
      </c>
      <c r="AF38" s="15">
        <f t="shared" si="31"/>
        <v>103.45433485945031</v>
      </c>
      <c r="AG38" s="15">
        <f t="shared" si="32"/>
        <v>102.19124164338524</v>
      </c>
      <c r="AH38" s="15">
        <f t="shared" si="33"/>
        <v>101.06197900608413</v>
      </c>
      <c r="AI38" s="17">
        <f t="shared" ref="AI38:AI65" si="65">AI5</f>
        <v>100</v>
      </c>
      <c r="AK38" s="31"/>
      <c r="AL38" s="3">
        <f t="shared" si="34"/>
        <v>-1076400000</v>
      </c>
      <c r="AM38" s="3">
        <f t="shared" si="4"/>
        <v>-1030218121.5702672</v>
      </c>
      <c r="AN38" s="3">
        <f t="shared" si="4"/>
        <v>-984291836.91536856</v>
      </c>
      <c r="AO38" s="3">
        <f t="shared" si="4"/>
        <v>-938873542.71053743</v>
      </c>
      <c r="AP38" s="3">
        <f t="shared" si="4"/>
        <v>-894209288.40698183</v>
      </c>
      <c r="AQ38" s="3">
        <f t="shared" si="4"/>
        <v>-850535719.05097377</v>
      </c>
      <c r="AR38" s="3">
        <f t="shared" si="4"/>
        <v>-808077155.03549647</v>
      </c>
      <c r="AS38" s="3">
        <f t="shared" si="4"/>
        <v>-767042849.88903332</v>
      </c>
      <c r="AT38" s="3">
        <f t="shared" si="4"/>
        <v>-727624463.51336432</v>
      </c>
      <c r="AU38" s="3">
        <f t="shared" si="4"/>
        <v>-689993783.90351784</v>
      </c>
      <c r="AV38" s="3">
        <f t="shared" si="4"/>
        <v>-654300725.46031141</v>
      </c>
      <c r="AW38" s="3">
        <f t="shared" si="4"/>
        <v>-620671626.69455802</v>
      </c>
      <c r="AX38" s="3">
        <f t="shared" si="4"/>
        <v>-589207864.58415353</v>
      </c>
      <c r="AY38" s="3">
        <f t="shared" si="4"/>
        <v>-559984797.24263871</v>
      </c>
      <c r="AZ38" s="3">
        <f t="shared" si="4"/>
        <v>-533051041.04540914</v>
      </c>
      <c r="BA38" s="3">
        <f t="shared" si="4"/>
        <v>-508428083.07949072</v>
      </c>
      <c r="BB38" s="3">
        <f t="shared" si="4"/>
        <v>-486110224.85845399</v>
      </c>
      <c r="BC38" s="3">
        <f t="shared" si="4"/>
        <v>-466064848.77701575</v>
      </c>
      <c r="BD38" s="3">
        <f t="shared" si="4"/>
        <v>-448232994.84626329</v>
      </c>
      <c r="BE38" s="3">
        <f t="shared" si="4"/>
        <v>-432530231.89937609</v>
      </c>
      <c r="BF38" s="3">
        <f t="shared" si="4"/>
        <v>-418847804.71114671</v>
      </c>
      <c r="BG38" s="3">
        <f t="shared" si="4"/>
        <v>-407054036.32815784</v>
      </c>
      <c r="BH38" s="3">
        <f t="shared" si="4"/>
        <v>-396995963.33166343</v>
      </c>
      <c r="BI38" s="3">
        <f t="shared" si="4"/>
        <v>-388501180.70256531</v>
      </c>
      <c r="BJ38" s="3">
        <f t="shared" si="4"/>
        <v>-381379872.36081213</v>
      </c>
      <c r="BK38" s="3">
        <f t="shared" si="4"/>
        <v>-375427003.23093832</v>
      </c>
      <c r="BL38" s="3">
        <f t="shared" si="4"/>
        <v>-370424648.75451505</v>
      </c>
      <c r="BM38" s="3">
        <f t="shared" si="4"/>
        <v>-366144438.03946006</v>
      </c>
      <c r="BN38" s="3">
        <f t="shared" si="4"/>
        <v>-362350087.21810389</v>
      </c>
      <c r="BO38" s="3">
        <f t="shared" si="4"/>
        <v>-358800000</v>
      </c>
      <c r="BQ38" s="31"/>
      <c r="BR38" s="1">
        <v>0</v>
      </c>
      <c r="BS38" s="1">
        <f t="shared" si="35"/>
        <v>0.3415922014622258</v>
      </c>
      <c r="BT38" s="1">
        <f t="shared" si="5"/>
        <v>0.3867162803971414</v>
      </c>
      <c r="BU38" s="1">
        <f t="shared" si="5"/>
        <v>0.39358441341045353</v>
      </c>
      <c r="BV38" s="1">
        <f t="shared" si="5"/>
        <v>0.39465123071155611</v>
      </c>
      <c r="BW38" s="1">
        <f t="shared" si="5"/>
        <v>0.39481745705771337</v>
      </c>
      <c r="BX38" s="1">
        <f t="shared" si="5"/>
        <v>0.39484337025824801</v>
      </c>
      <c r="BY38" s="1">
        <f t="shared" si="5"/>
        <v>0.39484741020089792</v>
      </c>
      <c r="BZ38" s="1">
        <f t="shared" si="5"/>
        <v>0.39484804004704999</v>
      </c>
      <c r="CA38" s="1">
        <f t="shared" si="5"/>
        <v>0.39484813824322279</v>
      </c>
      <c r="CB38" s="1">
        <f t="shared" si="5"/>
        <v>0.39484815355250286</v>
      </c>
      <c r="CC38" s="1">
        <f t="shared" si="5"/>
        <v>0.39484815593929717</v>
      </c>
      <c r="CD38" s="1">
        <f t="shared" si="5"/>
        <v>0.39484815631141046</v>
      </c>
      <c r="CE38" s="1">
        <f t="shared" si="5"/>
        <v>0.39484815636942483</v>
      </c>
      <c r="CF38" s="1">
        <f t="shared" si="5"/>
        <v>0.39484815637846954</v>
      </c>
      <c r="CG38" s="1">
        <f t="shared" si="5"/>
        <v>0.39484815637987963</v>
      </c>
      <c r="CH38" s="1">
        <f t="shared" si="5"/>
        <v>0.39484815638009951</v>
      </c>
      <c r="CI38" s="1">
        <f t="shared" si="5"/>
        <v>0.39484815638013382</v>
      </c>
      <c r="CJ38" s="1">
        <f t="shared" si="5"/>
        <v>0.39484815638013915</v>
      </c>
      <c r="CK38" s="1">
        <f t="shared" si="5"/>
        <v>0.39484815638013998</v>
      </c>
      <c r="CL38" s="1">
        <f t="shared" si="5"/>
        <v>0.39484815638014015</v>
      </c>
      <c r="CM38" s="1">
        <f t="shared" si="5"/>
        <v>0.39484815638014015</v>
      </c>
      <c r="CN38" s="1">
        <f t="shared" si="5"/>
        <v>0.39484815638014015</v>
      </c>
      <c r="CO38" s="1">
        <f t="shared" si="5"/>
        <v>0.39484815638014015</v>
      </c>
      <c r="CP38" s="1">
        <f t="shared" si="5"/>
        <v>0.39484815638014015</v>
      </c>
      <c r="CQ38" s="1">
        <f t="shared" si="5"/>
        <v>0.39484815638014015</v>
      </c>
      <c r="CR38" s="1">
        <f t="shared" si="5"/>
        <v>0.39484815638014015</v>
      </c>
      <c r="CS38" s="1">
        <f t="shared" si="5"/>
        <v>0.39484815638014015</v>
      </c>
      <c r="CT38" s="1">
        <f t="shared" si="5"/>
        <v>0.39484815638014015</v>
      </c>
      <c r="CU38" s="1">
        <f t="shared" si="5"/>
        <v>0.39484815638014015</v>
      </c>
      <c r="CW38" s="31"/>
      <c r="CX38" s="16">
        <f t="shared" si="36"/>
        <v>300</v>
      </c>
      <c r="CY38">
        <f t="shared" si="37"/>
        <v>193.44454151540521</v>
      </c>
      <c r="CZ38">
        <f t="shared" si="38"/>
        <v>173.20077052461761</v>
      </c>
      <c r="DA38">
        <f t="shared" si="39"/>
        <v>163.68843106055763</v>
      </c>
      <c r="DB38">
        <f t="shared" si="40"/>
        <v>155.8216771419489</v>
      </c>
      <c r="DC38">
        <f t="shared" si="41"/>
        <v>148.3241865479348</v>
      </c>
      <c r="DD38">
        <f t="shared" si="42"/>
        <v>141.04011181826982</v>
      </c>
      <c r="DE38">
        <f t="shared" si="43"/>
        <v>133.97730375540266</v>
      </c>
      <c r="DF38">
        <f t="shared" si="44"/>
        <v>127.16555025152174</v>
      </c>
      <c r="DG38">
        <f t="shared" si="45"/>
        <v>120.63520343872949</v>
      </c>
      <c r="DH38">
        <f t="shared" si="46"/>
        <v>114.41370538840856</v>
      </c>
      <c r="DI38">
        <f t="shared" si="47"/>
        <v>108.52480945516878</v>
      </c>
      <c r="DJ38">
        <f t="shared" si="48"/>
        <v>102.98824506412016</v>
      </c>
      <c r="DK38">
        <f t="shared" si="49"/>
        <v>97.819494265441776</v>
      </c>
      <c r="DL38">
        <f t="shared" si="50"/>
        <v>93.029632217098609</v>
      </c>
      <c r="DM38">
        <f t="shared" si="51"/>
        <v>88.625225012625705</v>
      </c>
      <c r="DN38">
        <f t="shared" si="52"/>
        <v>84.608283648313432</v>
      </c>
      <c r="DO38">
        <f t="shared" si="53"/>
        <v>80.976273050937067</v>
      </c>
      <c r="DP38">
        <f t="shared" si="54"/>
        <v>77.722174507935506</v>
      </c>
      <c r="DQ38">
        <f t="shared" si="55"/>
        <v>74.834599237527186</v>
      </c>
      <c r="DR38">
        <f t="shared" si="56"/>
        <v>72.297950312292045</v>
      </c>
      <c r="DS38">
        <f t="shared" si="57"/>
        <v>70.092629723050507</v>
      </c>
      <c r="DT38">
        <f t="shared" si="58"/>
        <v>68.195287040548465</v>
      </c>
      <c r="DU38">
        <f t="shared" si="59"/>
        <v>66.579105894969359</v>
      </c>
      <c r="DV38">
        <f t="shared" si="60"/>
        <v>65.214124338581342</v>
      </c>
      <c r="DW38">
        <f t="shared" si="61"/>
        <v>64.06758507322229</v>
      </c>
      <c r="DX38">
        <f t="shared" si="62"/>
        <v>63.10431149836225</v>
      </c>
      <c r="DY38">
        <f t="shared" si="63"/>
        <v>62.287105552704496</v>
      </c>
      <c r="DZ38">
        <f t="shared" si="64"/>
        <v>61.577163368070117</v>
      </c>
      <c r="EA38" s="16">
        <f t="shared" si="7"/>
        <v>24.313619224514177</v>
      </c>
    </row>
    <row r="39" spans="5:131" x14ac:dyDescent="0.3">
      <c r="E39" s="33"/>
      <c r="F39" s="17">
        <f t="shared" si="3"/>
        <v>300</v>
      </c>
      <c r="G39" s="17">
        <f t="shared" si="3"/>
        <v>287.20458331783175</v>
      </c>
      <c r="H39" s="15">
        <f t="shared" si="8"/>
        <v>274.47945650127724</v>
      </c>
      <c r="I39" s="15">
        <f t="shared" si="9"/>
        <v>261.8940321639696</v>
      </c>
      <c r="J39" s="15">
        <f t="shared" si="10"/>
        <v>249.51598121594628</v>
      </c>
      <c r="K39" s="15">
        <f t="shared" si="11"/>
        <v>237.410393742005</v>
      </c>
      <c r="L39" s="15">
        <f t="shared" si="12"/>
        <v>225.638977207251</v>
      </c>
      <c r="M39" s="15">
        <f t="shared" si="13"/>
        <v>214.25930321091408</v>
      </c>
      <c r="N39" s="15">
        <f t="shared" si="14"/>
        <v>203.32411301536473</v>
      </c>
      <c r="O39" s="15">
        <f t="shared" si="15"/>
        <v>192.88069089761203</v>
      </c>
      <c r="P39" s="15">
        <f t="shared" si="16"/>
        <v>182.97031304318821</v>
      </c>
      <c r="Q39" s="15">
        <f t="shared" si="17"/>
        <v>173.62777826859889</v>
      </c>
      <c r="R39" s="15">
        <f t="shared" si="18"/>
        <v>164.88102536165542</v>
      </c>
      <c r="S39" s="15">
        <f t="shared" si="19"/>
        <v>156.75084031219686</v>
      </c>
      <c r="T39" s="17">
        <f t="shared" si="3"/>
        <v>149.25065521039988</v>
      </c>
      <c r="U39" s="15">
        <f t="shared" si="20"/>
        <v>142.38643915412473</v>
      </c>
      <c r="V39" s="15">
        <f t="shared" si="21"/>
        <v>136.15668016384473</v>
      </c>
      <c r="W39" s="15">
        <f t="shared" si="22"/>
        <v>130.55245588106118</v>
      </c>
      <c r="X39" s="15">
        <f t="shared" si="23"/>
        <v>125.55758974443694</v>
      </c>
      <c r="Y39" s="15">
        <f t="shared" si="24"/>
        <v>121.14888841078439</v>
      </c>
      <c r="Z39" s="15">
        <f t="shared" si="25"/>
        <v>117.29645542188662</v>
      </c>
      <c r="AA39" s="15">
        <f t="shared" si="26"/>
        <v>113.96407551228947</v>
      </c>
      <c r="AB39" s="15">
        <f t="shared" si="27"/>
        <v>111.10966350062355</v>
      </c>
      <c r="AC39" s="15">
        <f t="shared" si="28"/>
        <v>108.68577139501505</v>
      </c>
      <c r="AD39" s="15">
        <f t="shared" si="29"/>
        <v>106.64014715446075</v>
      </c>
      <c r="AE39" s="15">
        <f t="shared" si="30"/>
        <v>104.91633846200992</v>
      </c>
      <c r="AF39" s="15">
        <f t="shared" si="31"/>
        <v>103.45433485945031</v>
      </c>
      <c r="AG39" s="15">
        <f t="shared" si="32"/>
        <v>102.19124164338524</v>
      </c>
      <c r="AH39" s="15">
        <f t="shared" si="33"/>
        <v>101.06197900608413</v>
      </c>
      <c r="AI39" s="17">
        <f t="shared" si="65"/>
        <v>100</v>
      </c>
      <c r="AK39" s="31"/>
      <c r="AL39" s="3">
        <f t="shared" si="34"/>
        <v>-1076400000</v>
      </c>
      <c r="AM39" s="3">
        <f t="shared" si="4"/>
        <v>-1030218121.5702672</v>
      </c>
      <c r="AN39" s="3">
        <f t="shared" si="4"/>
        <v>-984291836.91536856</v>
      </c>
      <c r="AO39" s="3">
        <f t="shared" si="4"/>
        <v>-938873542.71053743</v>
      </c>
      <c r="AP39" s="3">
        <f t="shared" si="4"/>
        <v>-894209288.40698183</v>
      </c>
      <c r="AQ39" s="3">
        <f t="shared" si="4"/>
        <v>-850535719.05097377</v>
      </c>
      <c r="AR39" s="3">
        <f t="shared" si="4"/>
        <v>-808077155.03549647</v>
      </c>
      <c r="AS39" s="3">
        <f t="shared" si="4"/>
        <v>-767042849.88903332</v>
      </c>
      <c r="AT39" s="3">
        <f t="shared" si="4"/>
        <v>-727624463.51336432</v>
      </c>
      <c r="AU39" s="3">
        <f t="shared" si="4"/>
        <v>-689993783.90351784</v>
      </c>
      <c r="AV39" s="3">
        <f t="shared" si="4"/>
        <v>-654300725.46031141</v>
      </c>
      <c r="AW39" s="3">
        <f t="shared" si="4"/>
        <v>-620671626.69455802</v>
      </c>
      <c r="AX39" s="3">
        <f t="shared" si="4"/>
        <v>-589207864.58415353</v>
      </c>
      <c r="AY39" s="3">
        <f t="shared" si="4"/>
        <v>-559984797.24263883</v>
      </c>
      <c r="AZ39" s="3">
        <f t="shared" si="4"/>
        <v>-533051041.04540914</v>
      </c>
      <c r="BA39" s="3">
        <f t="shared" si="4"/>
        <v>-508428083.07949072</v>
      </c>
      <c r="BB39" s="3">
        <f t="shared" si="4"/>
        <v>-486110224.85845399</v>
      </c>
      <c r="BC39" s="3">
        <f t="shared" si="4"/>
        <v>-466064848.77701575</v>
      </c>
      <c r="BD39" s="3">
        <f t="shared" si="4"/>
        <v>-448232994.84626335</v>
      </c>
      <c r="BE39" s="3">
        <f t="shared" si="4"/>
        <v>-432530231.89937609</v>
      </c>
      <c r="BF39" s="3">
        <f t="shared" si="4"/>
        <v>-418847804.71114671</v>
      </c>
      <c r="BG39" s="3">
        <f t="shared" si="4"/>
        <v>-407054036.32815784</v>
      </c>
      <c r="BH39" s="3">
        <f t="shared" si="4"/>
        <v>-396995963.33166349</v>
      </c>
      <c r="BI39" s="3">
        <f t="shared" si="4"/>
        <v>-388501180.70256531</v>
      </c>
      <c r="BJ39" s="3">
        <f t="shared" si="4"/>
        <v>-381379872.36081213</v>
      </c>
      <c r="BK39" s="3">
        <f t="shared" si="4"/>
        <v>-375427003.23093832</v>
      </c>
      <c r="BL39" s="3">
        <f t="shared" si="4"/>
        <v>-370424648.75451505</v>
      </c>
      <c r="BM39" s="3">
        <f t="shared" si="4"/>
        <v>-366144438.03946006</v>
      </c>
      <c r="BN39" s="3">
        <f t="shared" si="4"/>
        <v>-362350087.21810389</v>
      </c>
      <c r="BO39" s="3">
        <f t="shared" si="4"/>
        <v>-358800000</v>
      </c>
      <c r="BQ39" s="31"/>
      <c r="BR39" s="1">
        <v>0</v>
      </c>
      <c r="BS39" s="1">
        <f t="shared" si="35"/>
        <v>0.3415922014622258</v>
      </c>
      <c r="BT39" s="1">
        <f t="shared" si="5"/>
        <v>0.3867162803971414</v>
      </c>
      <c r="BU39" s="1">
        <f t="shared" si="5"/>
        <v>0.39358441341045353</v>
      </c>
      <c r="BV39" s="1">
        <f t="shared" si="5"/>
        <v>0.39465123071155611</v>
      </c>
      <c r="BW39" s="1">
        <f t="shared" si="5"/>
        <v>0.39481745705771337</v>
      </c>
      <c r="BX39" s="1">
        <f t="shared" si="5"/>
        <v>0.39484337025824801</v>
      </c>
      <c r="BY39" s="1">
        <f t="shared" si="5"/>
        <v>0.39484741020089792</v>
      </c>
      <c r="BZ39" s="1">
        <f t="shared" si="5"/>
        <v>0.39484804004704999</v>
      </c>
      <c r="CA39" s="1">
        <f t="shared" si="5"/>
        <v>0.39484813824322279</v>
      </c>
      <c r="CB39" s="1">
        <f t="shared" si="5"/>
        <v>0.39484815355250286</v>
      </c>
      <c r="CC39" s="1">
        <f t="shared" si="5"/>
        <v>0.39484815593929717</v>
      </c>
      <c r="CD39" s="1">
        <f t="shared" si="5"/>
        <v>0.39484815631141046</v>
      </c>
      <c r="CE39" s="1">
        <f t="shared" si="5"/>
        <v>0.39484815636942483</v>
      </c>
      <c r="CF39" s="1">
        <f t="shared" si="5"/>
        <v>0.39484815637846954</v>
      </c>
      <c r="CG39" s="1">
        <f t="shared" si="5"/>
        <v>0.39484815637987963</v>
      </c>
      <c r="CH39" s="1">
        <f t="shared" si="5"/>
        <v>0.39484815638009951</v>
      </c>
      <c r="CI39" s="1">
        <f t="shared" si="5"/>
        <v>0.39484815638013382</v>
      </c>
      <c r="CJ39" s="1">
        <f t="shared" si="5"/>
        <v>0.39484815638013915</v>
      </c>
      <c r="CK39" s="1">
        <f t="shared" si="5"/>
        <v>0.39484815638013998</v>
      </c>
      <c r="CL39" s="1">
        <f t="shared" si="5"/>
        <v>0.39484815638014015</v>
      </c>
      <c r="CM39" s="1">
        <f t="shared" si="5"/>
        <v>0.39484815638014015</v>
      </c>
      <c r="CN39" s="1">
        <f t="shared" si="5"/>
        <v>0.39484815638014015</v>
      </c>
      <c r="CO39" s="1">
        <f t="shared" si="5"/>
        <v>0.39484815638014015</v>
      </c>
      <c r="CP39" s="1">
        <f t="shared" si="5"/>
        <v>0.39484815638014015</v>
      </c>
      <c r="CQ39" s="1">
        <f t="shared" si="5"/>
        <v>0.39484815638014015</v>
      </c>
      <c r="CR39" s="1">
        <f t="shared" si="5"/>
        <v>0.39484815638014015</v>
      </c>
      <c r="CS39" s="1">
        <f t="shared" si="5"/>
        <v>0.39484815638014015</v>
      </c>
      <c r="CT39" s="1">
        <f t="shared" si="5"/>
        <v>0.39484815638014015</v>
      </c>
      <c r="CU39" s="1">
        <f t="shared" si="5"/>
        <v>0.39484815638014015</v>
      </c>
      <c r="CW39" s="31"/>
      <c r="CX39" s="16">
        <f t="shared" si="36"/>
        <v>300</v>
      </c>
      <c r="CY39">
        <f t="shared" si="37"/>
        <v>193.44454151540521</v>
      </c>
      <c r="CZ39">
        <f t="shared" si="38"/>
        <v>173.20077052461761</v>
      </c>
      <c r="DA39">
        <f t="shared" si="39"/>
        <v>163.68843106055763</v>
      </c>
      <c r="DB39">
        <f t="shared" si="40"/>
        <v>155.8216771419489</v>
      </c>
      <c r="DC39">
        <f t="shared" si="41"/>
        <v>148.3241865479348</v>
      </c>
      <c r="DD39">
        <f t="shared" si="42"/>
        <v>141.04011181826982</v>
      </c>
      <c r="DE39">
        <f t="shared" si="43"/>
        <v>133.97730375540266</v>
      </c>
      <c r="DF39">
        <f t="shared" si="44"/>
        <v>127.16555025152174</v>
      </c>
      <c r="DG39">
        <f t="shared" si="45"/>
        <v>120.63520343872949</v>
      </c>
      <c r="DH39">
        <f t="shared" si="46"/>
        <v>114.41370538840856</v>
      </c>
      <c r="DI39">
        <f t="shared" si="47"/>
        <v>108.52480945516878</v>
      </c>
      <c r="DJ39">
        <f t="shared" si="48"/>
        <v>102.98824506412016</v>
      </c>
      <c r="DK39">
        <f t="shared" si="49"/>
        <v>97.819494265441776</v>
      </c>
      <c r="DL39">
        <f t="shared" si="50"/>
        <v>93.029632217098609</v>
      </c>
      <c r="DM39">
        <f t="shared" si="51"/>
        <v>88.625225012625705</v>
      </c>
      <c r="DN39">
        <f t="shared" si="52"/>
        <v>84.608283648313432</v>
      </c>
      <c r="DO39">
        <f t="shared" si="53"/>
        <v>80.976273050937067</v>
      </c>
      <c r="DP39">
        <f t="shared" si="54"/>
        <v>77.722174507935506</v>
      </c>
      <c r="DQ39">
        <f t="shared" si="55"/>
        <v>74.834599237527186</v>
      </c>
      <c r="DR39">
        <f t="shared" si="56"/>
        <v>72.297950312292045</v>
      </c>
      <c r="DS39">
        <f t="shared" si="57"/>
        <v>70.092629723050507</v>
      </c>
      <c r="DT39">
        <f t="shared" si="58"/>
        <v>68.195287040548479</v>
      </c>
      <c r="DU39">
        <f t="shared" si="59"/>
        <v>66.579105894969373</v>
      </c>
      <c r="DV39">
        <f t="shared" si="60"/>
        <v>65.214124338581342</v>
      </c>
      <c r="DW39">
        <f t="shared" si="61"/>
        <v>64.06758507322229</v>
      </c>
      <c r="DX39">
        <f t="shared" si="62"/>
        <v>63.10431149836225</v>
      </c>
      <c r="DY39">
        <f t="shared" si="63"/>
        <v>62.287105552704496</v>
      </c>
      <c r="DZ39">
        <f t="shared" si="64"/>
        <v>61.577163368070117</v>
      </c>
      <c r="EA39" s="16">
        <f t="shared" si="7"/>
        <v>24.313619224514177</v>
      </c>
    </row>
    <row r="40" spans="5:131" x14ac:dyDescent="0.3">
      <c r="E40" s="33"/>
      <c r="F40" s="17">
        <f t="shared" si="3"/>
        <v>300</v>
      </c>
      <c r="G40" s="17">
        <f t="shared" si="3"/>
        <v>287.20458331783175</v>
      </c>
      <c r="H40" s="15">
        <f t="shared" si="8"/>
        <v>274.47945650127724</v>
      </c>
      <c r="I40" s="15">
        <f t="shared" si="9"/>
        <v>261.8940321639696</v>
      </c>
      <c r="J40" s="15">
        <f t="shared" si="10"/>
        <v>249.51598121594628</v>
      </c>
      <c r="K40" s="15">
        <f t="shared" si="11"/>
        <v>237.410393742005</v>
      </c>
      <c r="L40" s="15">
        <f t="shared" si="12"/>
        <v>225.638977207251</v>
      </c>
      <c r="M40" s="15">
        <f t="shared" si="13"/>
        <v>214.25930321091414</v>
      </c>
      <c r="N40" s="15">
        <f t="shared" si="14"/>
        <v>203.32411301536473</v>
      </c>
      <c r="O40" s="15">
        <f t="shared" si="15"/>
        <v>192.88069089761203</v>
      </c>
      <c r="P40" s="15">
        <f t="shared" si="16"/>
        <v>182.97031304318824</v>
      </c>
      <c r="Q40" s="15">
        <f t="shared" si="17"/>
        <v>173.62777826859892</v>
      </c>
      <c r="R40" s="15">
        <f t="shared" si="18"/>
        <v>164.88102536165545</v>
      </c>
      <c r="S40" s="15">
        <f t="shared" si="19"/>
        <v>156.75084031219689</v>
      </c>
      <c r="T40" s="17">
        <f t="shared" si="3"/>
        <v>149.25065521039991</v>
      </c>
      <c r="U40" s="15">
        <f t="shared" si="20"/>
        <v>142.38643915412473</v>
      </c>
      <c r="V40" s="15">
        <f t="shared" si="21"/>
        <v>136.15668016384473</v>
      </c>
      <c r="W40" s="15">
        <f t="shared" si="22"/>
        <v>130.55245588106118</v>
      </c>
      <c r="X40" s="15">
        <f t="shared" si="23"/>
        <v>125.55758974443694</v>
      </c>
      <c r="Y40" s="15">
        <f t="shared" si="24"/>
        <v>121.14888841078439</v>
      </c>
      <c r="Z40" s="15">
        <f t="shared" si="25"/>
        <v>117.29645542188662</v>
      </c>
      <c r="AA40" s="15">
        <f t="shared" si="26"/>
        <v>113.96407551228947</v>
      </c>
      <c r="AB40" s="15">
        <f t="shared" si="27"/>
        <v>111.10966350062355</v>
      </c>
      <c r="AC40" s="15">
        <f t="shared" si="28"/>
        <v>108.68577139501505</v>
      </c>
      <c r="AD40" s="15">
        <f t="shared" si="29"/>
        <v>106.64014715446075</v>
      </c>
      <c r="AE40" s="15">
        <f t="shared" si="30"/>
        <v>104.91633846200992</v>
      </c>
      <c r="AF40" s="15">
        <f t="shared" si="31"/>
        <v>103.45433485945031</v>
      </c>
      <c r="AG40" s="15">
        <f t="shared" si="32"/>
        <v>102.19124164338524</v>
      </c>
      <c r="AH40" s="15">
        <f t="shared" si="33"/>
        <v>101.06197900608413</v>
      </c>
      <c r="AI40" s="17">
        <f t="shared" si="65"/>
        <v>100</v>
      </c>
      <c r="AK40" s="31"/>
      <c r="AL40" s="3">
        <f t="shared" si="34"/>
        <v>-1076400000</v>
      </c>
      <c r="AM40" s="3">
        <f t="shared" si="4"/>
        <v>-1030218121.5702672</v>
      </c>
      <c r="AN40" s="3">
        <f t="shared" si="4"/>
        <v>-984291836.91536856</v>
      </c>
      <c r="AO40" s="3">
        <f t="shared" si="4"/>
        <v>-938873542.71053743</v>
      </c>
      <c r="AP40" s="3">
        <f t="shared" si="4"/>
        <v>-894209288.40698183</v>
      </c>
      <c r="AQ40" s="3">
        <f t="shared" si="4"/>
        <v>-850535719.05097377</v>
      </c>
      <c r="AR40" s="3">
        <f t="shared" si="4"/>
        <v>-808077155.03549647</v>
      </c>
      <c r="AS40" s="3">
        <f t="shared" si="4"/>
        <v>-767042849.88903344</v>
      </c>
      <c r="AT40" s="3">
        <f t="shared" si="4"/>
        <v>-727624463.51336432</v>
      </c>
      <c r="AU40" s="3">
        <f t="shared" si="4"/>
        <v>-689993783.90351784</v>
      </c>
      <c r="AV40" s="3">
        <f t="shared" si="4"/>
        <v>-654300725.46031141</v>
      </c>
      <c r="AW40" s="3">
        <f t="shared" si="4"/>
        <v>-620671626.69455802</v>
      </c>
      <c r="AX40" s="3">
        <f t="shared" si="4"/>
        <v>-589207864.58415365</v>
      </c>
      <c r="AY40" s="3">
        <f t="shared" si="4"/>
        <v>-559984797.24263895</v>
      </c>
      <c r="AZ40" s="3">
        <f t="shared" si="4"/>
        <v>-533051041.04540926</v>
      </c>
      <c r="BA40" s="3">
        <f t="shared" si="4"/>
        <v>-508428083.07949084</v>
      </c>
      <c r="BB40" s="3">
        <f t="shared" si="4"/>
        <v>-486110224.85845399</v>
      </c>
      <c r="BC40" s="3">
        <f t="shared" si="4"/>
        <v>-466064848.77701575</v>
      </c>
      <c r="BD40" s="3">
        <f t="shared" si="4"/>
        <v>-448232994.84626341</v>
      </c>
      <c r="BE40" s="3">
        <f t="shared" si="4"/>
        <v>-432530231.89937609</v>
      </c>
      <c r="BF40" s="3">
        <f t="shared" si="4"/>
        <v>-418847804.71114671</v>
      </c>
      <c r="BG40" s="3">
        <f t="shared" si="4"/>
        <v>-407054036.32815784</v>
      </c>
      <c r="BH40" s="3">
        <f t="shared" si="4"/>
        <v>-396995963.33166349</v>
      </c>
      <c r="BI40" s="3">
        <f t="shared" si="4"/>
        <v>-388501180.70256531</v>
      </c>
      <c r="BJ40" s="3">
        <f t="shared" si="4"/>
        <v>-381379872.36081213</v>
      </c>
      <c r="BK40" s="3">
        <f t="shared" si="4"/>
        <v>-375427003.23093832</v>
      </c>
      <c r="BL40" s="3">
        <f t="shared" si="4"/>
        <v>-370424648.75451505</v>
      </c>
      <c r="BM40" s="3">
        <f t="shared" si="4"/>
        <v>-366144438.03946006</v>
      </c>
      <c r="BN40" s="3">
        <f t="shared" si="4"/>
        <v>-362350087.21810389</v>
      </c>
      <c r="BO40" s="3">
        <f t="shared" si="4"/>
        <v>-358800000</v>
      </c>
      <c r="BQ40" s="31"/>
      <c r="BR40" s="1">
        <v>0</v>
      </c>
      <c r="BS40" s="1">
        <f t="shared" si="35"/>
        <v>0.3415922014622258</v>
      </c>
      <c r="BT40" s="1">
        <f t="shared" si="5"/>
        <v>0.3867162803971414</v>
      </c>
      <c r="BU40" s="1">
        <f t="shared" si="5"/>
        <v>0.39358441341045353</v>
      </c>
      <c r="BV40" s="1">
        <f t="shared" si="5"/>
        <v>0.39465123071155611</v>
      </c>
      <c r="BW40" s="1">
        <f t="shared" si="5"/>
        <v>0.39481745705771337</v>
      </c>
      <c r="BX40" s="1">
        <f t="shared" si="5"/>
        <v>0.39484337025824801</v>
      </c>
      <c r="BY40" s="1">
        <f t="shared" si="5"/>
        <v>0.39484741020089792</v>
      </c>
      <c r="BZ40" s="1">
        <f t="shared" si="5"/>
        <v>0.39484804004704999</v>
      </c>
      <c r="CA40" s="1">
        <f t="shared" si="5"/>
        <v>0.39484813824322279</v>
      </c>
      <c r="CB40" s="1">
        <f t="shared" si="5"/>
        <v>0.39484815355250286</v>
      </c>
      <c r="CC40" s="1">
        <f t="shared" si="5"/>
        <v>0.39484815593929717</v>
      </c>
      <c r="CD40" s="1">
        <f t="shared" si="5"/>
        <v>0.39484815631141046</v>
      </c>
      <c r="CE40" s="1">
        <f t="shared" si="5"/>
        <v>0.39484815636942483</v>
      </c>
      <c r="CF40" s="1">
        <f t="shared" si="5"/>
        <v>0.39484815637846954</v>
      </c>
      <c r="CG40" s="1">
        <f t="shared" si="5"/>
        <v>0.39484815637987963</v>
      </c>
      <c r="CH40" s="1">
        <f t="shared" si="5"/>
        <v>0.39484815638009951</v>
      </c>
      <c r="CI40" s="1">
        <f t="shared" si="5"/>
        <v>0.39484815638013382</v>
      </c>
      <c r="CJ40" s="1">
        <f t="shared" si="5"/>
        <v>0.39484815638013915</v>
      </c>
      <c r="CK40" s="1">
        <f t="shared" si="5"/>
        <v>0.39484815638013998</v>
      </c>
      <c r="CL40" s="1">
        <f t="shared" si="5"/>
        <v>0.39484815638014015</v>
      </c>
      <c r="CM40" s="1">
        <f t="shared" si="5"/>
        <v>0.39484815638014015</v>
      </c>
      <c r="CN40" s="1">
        <f t="shared" si="5"/>
        <v>0.39484815638014015</v>
      </c>
      <c r="CO40" s="1">
        <f t="shared" si="5"/>
        <v>0.39484815638014015</v>
      </c>
      <c r="CP40" s="1">
        <f t="shared" si="5"/>
        <v>0.39484815638014015</v>
      </c>
      <c r="CQ40" s="1">
        <f t="shared" si="5"/>
        <v>0.39484815638014015</v>
      </c>
      <c r="CR40" s="1">
        <f t="shared" si="5"/>
        <v>0.39484815638014015</v>
      </c>
      <c r="CS40" s="1">
        <f t="shared" si="5"/>
        <v>0.39484815638014015</v>
      </c>
      <c r="CT40" s="1">
        <f t="shared" si="5"/>
        <v>0.39484815638014015</v>
      </c>
      <c r="CU40" s="1">
        <f t="shared" si="5"/>
        <v>0.39484815638014015</v>
      </c>
      <c r="CW40" s="31"/>
      <c r="CX40" s="16">
        <f t="shared" si="36"/>
        <v>300</v>
      </c>
      <c r="CY40">
        <f t="shared" si="37"/>
        <v>193.44454151540521</v>
      </c>
      <c r="CZ40">
        <f t="shared" si="38"/>
        <v>173.20077052461761</v>
      </c>
      <c r="DA40">
        <f t="shared" si="39"/>
        <v>163.68843106055763</v>
      </c>
      <c r="DB40">
        <f t="shared" si="40"/>
        <v>155.8216771419489</v>
      </c>
      <c r="DC40">
        <f t="shared" si="41"/>
        <v>148.3241865479348</v>
      </c>
      <c r="DD40">
        <f t="shared" si="42"/>
        <v>141.04011181826982</v>
      </c>
      <c r="DE40">
        <f t="shared" si="43"/>
        <v>133.97730375540269</v>
      </c>
      <c r="DF40">
        <f t="shared" si="44"/>
        <v>127.16555025152176</v>
      </c>
      <c r="DG40">
        <f t="shared" si="45"/>
        <v>120.63520343872949</v>
      </c>
      <c r="DH40">
        <f t="shared" si="46"/>
        <v>114.41370538840856</v>
      </c>
      <c r="DI40">
        <f t="shared" si="47"/>
        <v>108.52480945516878</v>
      </c>
      <c r="DJ40">
        <f t="shared" si="48"/>
        <v>102.98824506412019</v>
      </c>
      <c r="DK40">
        <f t="shared" si="49"/>
        <v>97.819494265441804</v>
      </c>
      <c r="DL40">
        <f t="shared" si="50"/>
        <v>93.029632217098623</v>
      </c>
      <c r="DM40">
        <f t="shared" si="51"/>
        <v>88.62522501262572</v>
      </c>
      <c r="DN40">
        <f t="shared" si="52"/>
        <v>84.608283648313432</v>
      </c>
      <c r="DO40">
        <f t="shared" si="53"/>
        <v>80.976273050937067</v>
      </c>
      <c r="DP40">
        <f t="shared" si="54"/>
        <v>77.722174507935506</v>
      </c>
      <c r="DQ40">
        <f t="shared" si="55"/>
        <v>74.834599237527186</v>
      </c>
      <c r="DR40">
        <f t="shared" si="56"/>
        <v>72.297950312292045</v>
      </c>
      <c r="DS40">
        <f t="shared" si="57"/>
        <v>70.092629723050507</v>
      </c>
      <c r="DT40">
        <f t="shared" si="58"/>
        <v>68.195287040548479</v>
      </c>
      <c r="DU40">
        <f t="shared" si="59"/>
        <v>66.579105894969373</v>
      </c>
      <c r="DV40">
        <f t="shared" si="60"/>
        <v>65.214124338581342</v>
      </c>
      <c r="DW40">
        <f t="shared" si="61"/>
        <v>64.06758507322229</v>
      </c>
      <c r="DX40">
        <f t="shared" si="62"/>
        <v>63.10431149836225</v>
      </c>
      <c r="DY40">
        <f t="shared" si="63"/>
        <v>62.287105552704496</v>
      </c>
      <c r="DZ40">
        <f t="shared" si="64"/>
        <v>61.577163368070117</v>
      </c>
      <c r="EA40" s="16">
        <f t="shared" si="7"/>
        <v>24.313619224514177</v>
      </c>
    </row>
    <row r="41" spans="5:131" x14ac:dyDescent="0.3">
      <c r="E41" s="33"/>
      <c r="F41" s="17">
        <f t="shared" si="3"/>
        <v>300</v>
      </c>
      <c r="G41" s="17">
        <f t="shared" si="3"/>
        <v>287.20458331783175</v>
      </c>
      <c r="H41" s="15">
        <f t="shared" si="8"/>
        <v>274.47945650127724</v>
      </c>
      <c r="I41" s="15">
        <f t="shared" si="9"/>
        <v>261.8940321639696</v>
      </c>
      <c r="J41" s="15">
        <f t="shared" si="10"/>
        <v>249.51598121594628</v>
      </c>
      <c r="K41" s="15">
        <f t="shared" si="11"/>
        <v>237.410393742005</v>
      </c>
      <c r="L41" s="15">
        <f t="shared" si="12"/>
        <v>225.638977207251</v>
      </c>
      <c r="M41" s="15">
        <f t="shared" si="13"/>
        <v>214.25930321091414</v>
      </c>
      <c r="N41" s="15">
        <f t="shared" si="14"/>
        <v>203.32411301536473</v>
      </c>
      <c r="O41" s="15">
        <f t="shared" si="15"/>
        <v>192.88069089761203</v>
      </c>
      <c r="P41" s="15">
        <f t="shared" si="16"/>
        <v>182.97031304318824</v>
      </c>
      <c r="Q41" s="15">
        <f t="shared" si="17"/>
        <v>173.62777826859895</v>
      </c>
      <c r="R41" s="15">
        <f t="shared" si="18"/>
        <v>164.88102536165547</v>
      </c>
      <c r="S41" s="15">
        <f t="shared" si="19"/>
        <v>156.75084031219691</v>
      </c>
      <c r="T41" s="17">
        <f t="shared" si="3"/>
        <v>149.25065521039994</v>
      </c>
      <c r="U41" s="15">
        <f t="shared" si="20"/>
        <v>142.38643915412476</v>
      </c>
      <c r="V41" s="15">
        <f t="shared" si="21"/>
        <v>136.15668016384475</v>
      </c>
      <c r="W41" s="15">
        <f t="shared" si="22"/>
        <v>130.55245588106123</v>
      </c>
      <c r="X41" s="15">
        <f t="shared" si="23"/>
        <v>125.55758974443697</v>
      </c>
      <c r="Y41" s="15">
        <f t="shared" si="24"/>
        <v>121.14888841078442</v>
      </c>
      <c r="Z41" s="15">
        <f t="shared" si="25"/>
        <v>117.29645542188663</v>
      </c>
      <c r="AA41" s="15">
        <f t="shared" si="26"/>
        <v>113.9640755122895</v>
      </c>
      <c r="AB41" s="15">
        <f t="shared" si="27"/>
        <v>111.10966350062355</v>
      </c>
      <c r="AC41" s="15">
        <f t="shared" si="28"/>
        <v>108.68577139501505</v>
      </c>
      <c r="AD41" s="15">
        <f t="shared" si="29"/>
        <v>106.64014715446075</v>
      </c>
      <c r="AE41" s="15">
        <f t="shared" si="30"/>
        <v>104.91633846200992</v>
      </c>
      <c r="AF41" s="15">
        <f t="shared" si="31"/>
        <v>103.45433485945031</v>
      </c>
      <c r="AG41" s="15">
        <f t="shared" si="32"/>
        <v>102.19124164338524</v>
      </c>
      <c r="AH41" s="15">
        <f t="shared" si="33"/>
        <v>101.06197900608413</v>
      </c>
      <c r="AI41" s="17">
        <f t="shared" si="65"/>
        <v>100</v>
      </c>
      <c r="AK41" s="31"/>
      <c r="AL41" s="3">
        <f t="shared" si="34"/>
        <v>-1076400000</v>
      </c>
      <c r="AM41" s="3">
        <f t="shared" si="4"/>
        <v>-1030218121.5702672</v>
      </c>
      <c r="AN41" s="3">
        <f t="shared" si="4"/>
        <v>-984291836.91536856</v>
      </c>
      <c r="AO41" s="3">
        <f t="shared" si="4"/>
        <v>-938873542.71053743</v>
      </c>
      <c r="AP41" s="3">
        <f t="shared" si="4"/>
        <v>-894209288.40698183</v>
      </c>
      <c r="AQ41" s="3">
        <f t="shared" si="4"/>
        <v>-850535719.05097377</v>
      </c>
      <c r="AR41" s="3">
        <f t="shared" si="4"/>
        <v>-808077155.03549647</v>
      </c>
      <c r="AS41" s="3">
        <f t="shared" si="4"/>
        <v>-767042849.88903356</v>
      </c>
      <c r="AT41" s="3">
        <f t="shared" si="4"/>
        <v>-727624463.51336432</v>
      </c>
      <c r="AU41" s="3">
        <f t="shared" si="4"/>
        <v>-689993783.90351784</v>
      </c>
      <c r="AV41" s="3">
        <f t="shared" si="4"/>
        <v>-654300725.46031153</v>
      </c>
      <c r="AW41" s="3">
        <f t="shared" si="4"/>
        <v>-620671626.69455802</v>
      </c>
      <c r="AX41" s="3">
        <f t="shared" si="4"/>
        <v>-589207864.58415365</v>
      </c>
      <c r="AY41" s="3">
        <f t="shared" si="4"/>
        <v>-559984797.24263895</v>
      </c>
      <c r="AZ41" s="3">
        <f t="shared" si="4"/>
        <v>-533051041.04540938</v>
      </c>
      <c r="BA41" s="3">
        <f t="shared" si="4"/>
        <v>-508428083.0794909</v>
      </c>
      <c r="BB41" s="3">
        <f t="shared" si="4"/>
        <v>-486110224.85845411</v>
      </c>
      <c r="BC41" s="3">
        <f t="shared" si="4"/>
        <v>-466064848.77701586</v>
      </c>
      <c r="BD41" s="3">
        <f t="shared" si="4"/>
        <v>-448232994.84626353</v>
      </c>
      <c r="BE41" s="3">
        <f t="shared" si="4"/>
        <v>-432530231.89937621</v>
      </c>
      <c r="BF41" s="3">
        <f t="shared" si="4"/>
        <v>-418847804.71114671</v>
      </c>
      <c r="BG41" s="3">
        <f t="shared" si="4"/>
        <v>-407054036.32815796</v>
      </c>
      <c r="BH41" s="3">
        <f t="shared" si="4"/>
        <v>-396995963.33166349</v>
      </c>
      <c r="BI41" s="3">
        <f t="shared" si="4"/>
        <v>-388501180.70256537</v>
      </c>
      <c r="BJ41" s="3">
        <f t="shared" si="4"/>
        <v>-381379872.36081213</v>
      </c>
      <c r="BK41" s="3">
        <f t="shared" si="4"/>
        <v>-375427003.23093843</v>
      </c>
      <c r="BL41" s="3">
        <f t="shared" si="4"/>
        <v>-370424648.75451511</v>
      </c>
      <c r="BM41" s="3">
        <f t="shared" si="4"/>
        <v>-366144438.03946006</v>
      </c>
      <c r="BN41" s="3">
        <f t="shared" si="4"/>
        <v>-362350087.21810389</v>
      </c>
      <c r="BO41" s="3">
        <f t="shared" si="4"/>
        <v>-358800000</v>
      </c>
      <c r="BQ41" s="31"/>
      <c r="BR41" s="1">
        <v>0</v>
      </c>
      <c r="BS41" s="1">
        <f t="shared" si="35"/>
        <v>0.3415922014622258</v>
      </c>
      <c r="BT41" s="1">
        <f t="shared" si="5"/>
        <v>0.3867162803971414</v>
      </c>
      <c r="BU41" s="1">
        <f t="shared" si="5"/>
        <v>0.39358441341045353</v>
      </c>
      <c r="BV41" s="1">
        <f t="shared" si="5"/>
        <v>0.39465123071155611</v>
      </c>
      <c r="BW41" s="1">
        <f t="shared" si="5"/>
        <v>0.39481745705771337</v>
      </c>
      <c r="BX41" s="1">
        <f t="shared" si="5"/>
        <v>0.39484337025824801</v>
      </c>
      <c r="BY41" s="1">
        <f t="shared" si="5"/>
        <v>0.39484741020089792</v>
      </c>
      <c r="BZ41" s="1">
        <f t="shared" si="5"/>
        <v>0.39484804004704999</v>
      </c>
      <c r="CA41" s="1">
        <f t="shared" si="5"/>
        <v>0.39484813824322279</v>
      </c>
      <c r="CB41" s="1">
        <f t="shared" si="5"/>
        <v>0.39484815355250286</v>
      </c>
      <c r="CC41" s="1">
        <f t="shared" si="5"/>
        <v>0.39484815593929717</v>
      </c>
      <c r="CD41" s="1">
        <f t="shared" si="5"/>
        <v>0.39484815631141046</v>
      </c>
      <c r="CE41" s="1">
        <f t="shared" si="5"/>
        <v>0.39484815636942483</v>
      </c>
      <c r="CF41" s="1">
        <f t="shared" si="5"/>
        <v>0.39484815637846954</v>
      </c>
      <c r="CG41" s="1">
        <f t="shared" si="5"/>
        <v>0.39484815637987963</v>
      </c>
      <c r="CH41" s="1">
        <f t="shared" si="5"/>
        <v>0.39484815638009951</v>
      </c>
      <c r="CI41" s="1">
        <f t="shared" si="5"/>
        <v>0.39484815638013382</v>
      </c>
      <c r="CJ41" s="1">
        <f t="shared" si="5"/>
        <v>0.39484815638013915</v>
      </c>
      <c r="CK41" s="1">
        <f t="shared" si="5"/>
        <v>0.39484815638013998</v>
      </c>
      <c r="CL41" s="1">
        <f t="shared" si="5"/>
        <v>0.39484815638014015</v>
      </c>
      <c r="CM41" s="1">
        <f t="shared" si="5"/>
        <v>0.39484815638014015</v>
      </c>
      <c r="CN41" s="1">
        <f t="shared" si="5"/>
        <v>0.39484815638014015</v>
      </c>
      <c r="CO41" s="1">
        <f t="shared" si="5"/>
        <v>0.39484815638014015</v>
      </c>
      <c r="CP41" s="1">
        <f t="shared" si="5"/>
        <v>0.39484815638014015</v>
      </c>
      <c r="CQ41" s="1">
        <f t="shared" si="5"/>
        <v>0.39484815638014015</v>
      </c>
      <c r="CR41" s="1">
        <f t="shared" si="5"/>
        <v>0.39484815638014015</v>
      </c>
      <c r="CS41" s="1">
        <f t="shared" si="5"/>
        <v>0.39484815638014015</v>
      </c>
      <c r="CT41" s="1">
        <f t="shared" si="5"/>
        <v>0.39484815638014015</v>
      </c>
      <c r="CU41" s="1">
        <f t="shared" si="5"/>
        <v>0.39484815638014015</v>
      </c>
      <c r="CW41" s="31"/>
      <c r="CX41" s="16">
        <f t="shared" si="36"/>
        <v>300</v>
      </c>
      <c r="CY41">
        <f t="shared" si="37"/>
        <v>193.44454151540521</v>
      </c>
      <c r="CZ41">
        <f t="shared" si="38"/>
        <v>173.20077052461761</v>
      </c>
      <c r="DA41">
        <f t="shared" si="39"/>
        <v>163.68843106055763</v>
      </c>
      <c r="DB41">
        <f t="shared" si="40"/>
        <v>155.8216771419489</v>
      </c>
      <c r="DC41">
        <f t="shared" si="41"/>
        <v>148.3241865479348</v>
      </c>
      <c r="DD41">
        <f t="shared" si="42"/>
        <v>141.04011181826982</v>
      </c>
      <c r="DE41">
        <f t="shared" si="43"/>
        <v>133.97730375540269</v>
      </c>
      <c r="DF41">
        <f t="shared" si="44"/>
        <v>127.16555025152176</v>
      </c>
      <c r="DG41">
        <f t="shared" si="45"/>
        <v>120.63520343872949</v>
      </c>
      <c r="DH41">
        <f t="shared" si="46"/>
        <v>114.41370538840856</v>
      </c>
      <c r="DI41">
        <f t="shared" si="47"/>
        <v>108.52480945516878</v>
      </c>
      <c r="DJ41">
        <f t="shared" si="48"/>
        <v>102.98824506412019</v>
      </c>
      <c r="DK41">
        <f t="shared" si="49"/>
        <v>97.819494265441804</v>
      </c>
      <c r="DL41">
        <f t="shared" si="50"/>
        <v>93.029632217098637</v>
      </c>
      <c r="DM41">
        <f t="shared" si="51"/>
        <v>88.62522501262572</v>
      </c>
      <c r="DN41">
        <f t="shared" si="52"/>
        <v>84.608283648313446</v>
      </c>
      <c r="DO41">
        <f t="shared" si="53"/>
        <v>80.976273050937095</v>
      </c>
      <c r="DP41">
        <f t="shared" si="54"/>
        <v>77.722174507935534</v>
      </c>
      <c r="DQ41">
        <f t="shared" si="55"/>
        <v>74.834599237527215</v>
      </c>
      <c r="DR41">
        <f t="shared" si="56"/>
        <v>72.297950312292059</v>
      </c>
      <c r="DS41">
        <f t="shared" si="57"/>
        <v>70.092629723050536</v>
      </c>
      <c r="DT41">
        <f t="shared" si="58"/>
        <v>68.195287040548493</v>
      </c>
      <c r="DU41">
        <f t="shared" si="59"/>
        <v>66.579105894969373</v>
      </c>
      <c r="DV41">
        <f t="shared" si="60"/>
        <v>65.214124338581342</v>
      </c>
      <c r="DW41">
        <f t="shared" si="61"/>
        <v>64.06758507322229</v>
      </c>
      <c r="DX41">
        <f t="shared" si="62"/>
        <v>63.10431149836225</v>
      </c>
      <c r="DY41">
        <f t="shared" si="63"/>
        <v>62.287105552704496</v>
      </c>
      <c r="DZ41">
        <f t="shared" si="64"/>
        <v>61.577163368070117</v>
      </c>
      <c r="EA41" s="16">
        <f t="shared" si="7"/>
        <v>24.313619224514177</v>
      </c>
    </row>
    <row r="42" spans="5:131" x14ac:dyDescent="0.3">
      <c r="E42" s="33"/>
      <c r="F42" s="17">
        <f t="shared" si="3"/>
        <v>300</v>
      </c>
      <c r="G42" s="17">
        <f t="shared" si="3"/>
        <v>287.20458331783175</v>
      </c>
      <c r="H42" s="15">
        <f t="shared" si="8"/>
        <v>274.47945650127724</v>
      </c>
      <c r="I42" s="15">
        <f t="shared" si="9"/>
        <v>261.8940321639696</v>
      </c>
      <c r="J42" s="15">
        <f t="shared" si="10"/>
        <v>249.51598121594631</v>
      </c>
      <c r="K42" s="15">
        <f t="shared" si="11"/>
        <v>237.410393742005</v>
      </c>
      <c r="L42" s="15">
        <f t="shared" si="12"/>
        <v>225.63897720725106</v>
      </c>
      <c r="M42" s="15">
        <f t="shared" si="13"/>
        <v>214.2593032109142</v>
      </c>
      <c r="N42" s="15">
        <f t="shared" si="14"/>
        <v>203.32411301536479</v>
      </c>
      <c r="O42" s="15">
        <f t="shared" si="15"/>
        <v>192.88069089761206</v>
      </c>
      <c r="P42" s="15">
        <f t="shared" si="16"/>
        <v>182.97031304318827</v>
      </c>
      <c r="Q42" s="15">
        <f t="shared" si="17"/>
        <v>173.62777826859895</v>
      </c>
      <c r="R42" s="15">
        <f t="shared" si="18"/>
        <v>164.88102536165547</v>
      </c>
      <c r="S42" s="15">
        <f t="shared" si="19"/>
        <v>156.75084031219694</v>
      </c>
      <c r="T42" s="17">
        <f t="shared" si="3"/>
        <v>149.25065521039997</v>
      </c>
      <c r="U42" s="15">
        <f t="shared" si="20"/>
        <v>142.38643915412482</v>
      </c>
      <c r="V42" s="15">
        <f t="shared" si="21"/>
        <v>136.15668016384478</v>
      </c>
      <c r="W42" s="15">
        <f t="shared" si="22"/>
        <v>130.55245588106126</v>
      </c>
      <c r="X42" s="15">
        <f t="shared" si="23"/>
        <v>125.55758974443701</v>
      </c>
      <c r="Y42" s="15">
        <f t="shared" si="24"/>
        <v>121.14888841078445</v>
      </c>
      <c r="Z42" s="15">
        <f t="shared" si="25"/>
        <v>117.29645542188663</v>
      </c>
      <c r="AA42" s="15">
        <f t="shared" si="26"/>
        <v>113.9640755122895</v>
      </c>
      <c r="AB42" s="15">
        <f t="shared" si="27"/>
        <v>111.10966350062357</v>
      </c>
      <c r="AC42" s="15">
        <f t="shared" si="28"/>
        <v>108.68577139501508</v>
      </c>
      <c r="AD42" s="15">
        <f t="shared" si="29"/>
        <v>106.64014715446078</v>
      </c>
      <c r="AE42" s="15">
        <f t="shared" si="30"/>
        <v>104.91633846200995</v>
      </c>
      <c r="AF42" s="15">
        <f t="shared" si="31"/>
        <v>103.45433485945036</v>
      </c>
      <c r="AG42" s="15">
        <f t="shared" si="32"/>
        <v>102.19124164338527</v>
      </c>
      <c r="AH42" s="15">
        <f t="shared" si="33"/>
        <v>101.06197900608414</v>
      </c>
      <c r="AI42" s="17">
        <f t="shared" si="65"/>
        <v>100</v>
      </c>
      <c r="AK42" s="31"/>
      <c r="AL42" s="3">
        <f t="shared" si="34"/>
        <v>-1076400000</v>
      </c>
      <c r="AM42" s="3">
        <f t="shared" si="4"/>
        <v>-1030218121.5702672</v>
      </c>
      <c r="AN42" s="3">
        <f t="shared" si="4"/>
        <v>-984291836.91536856</v>
      </c>
      <c r="AO42" s="3">
        <f t="shared" si="4"/>
        <v>-938873542.71053743</v>
      </c>
      <c r="AP42" s="3">
        <f t="shared" si="4"/>
        <v>-894209288.40698195</v>
      </c>
      <c r="AQ42" s="3">
        <f t="shared" si="4"/>
        <v>-850535719.05097377</v>
      </c>
      <c r="AR42" s="3">
        <f t="shared" si="4"/>
        <v>-808077155.03549647</v>
      </c>
      <c r="AS42" s="3">
        <f t="shared" si="4"/>
        <v>-767042849.88903379</v>
      </c>
      <c r="AT42" s="3">
        <f t="shared" si="4"/>
        <v>-727624463.51336443</v>
      </c>
      <c r="AU42" s="3">
        <f t="shared" si="4"/>
        <v>-689993783.90351808</v>
      </c>
      <c r="AV42" s="3">
        <f t="shared" si="4"/>
        <v>-654300725.46031177</v>
      </c>
      <c r="AW42" s="3">
        <f t="shared" si="4"/>
        <v>-620671626.69455826</v>
      </c>
      <c r="AX42" s="3">
        <f t="shared" si="4"/>
        <v>-589207864.58415377</v>
      </c>
      <c r="AY42" s="3">
        <f t="shared" si="4"/>
        <v>-559984797.24263906</v>
      </c>
      <c r="AZ42" s="3">
        <f t="shared" si="4"/>
        <v>-533051041.04540956</v>
      </c>
      <c r="BA42" s="3">
        <f t="shared" si="4"/>
        <v>-508428083.07949114</v>
      </c>
      <c r="BB42" s="3">
        <f t="shared" si="4"/>
        <v>-486110224.85845423</v>
      </c>
      <c r="BC42" s="3">
        <f t="shared" si="4"/>
        <v>-466064848.77701604</v>
      </c>
      <c r="BD42" s="3">
        <f t="shared" si="4"/>
        <v>-448232994.84626365</v>
      </c>
      <c r="BE42" s="3">
        <f t="shared" si="4"/>
        <v>-432530231.89937633</v>
      </c>
      <c r="BF42" s="3">
        <f t="shared" si="4"/>
        <v>-418847804.71114677</v>
      </c>
      <c r="BG42" s="3">
        <f t="shared" si="4"/>
        <v>-407054036.32815808</v>
      </c>
      <c r="BH42" s="3">
        <f t="shared" si="4"/>
        <v>-396995963.33166355</v>
      </c>
      <c r="BI42" s="3">
        <f t="shared" si="4"/>
        <v>-388501180.70256543</v>
      </c>
      <c r="BJ42" s="3">
        <f t="shared" si="4"/>
        <v>-381379872.36081219</v>
      </c>
      <c r="BK42" s="3">
        <f t="shared" si="4"/>
        <v>-375427003.23093849</v>
      </c>
      <c r="BL42" s="3">
        <f t="shared" si="4"/>
        <v>-370424648.75451523</v>
      </c>
      <c r="BM42" s="3">
        <f t="shared" si="4"/>
        <v>-366144438.03946006</v>
      </c>
      <c r="BN42" s="3">
        <f t="shared" si="4"/>
        <v>-362350087.21810389</v>
      </c>
      <c r="BO42" s="3">
        <f t="shared" si="4"/>
        <v>-358800000</v>
      </c>
      <c r="BQ42" s="31"/>
      <c r="BR42" s="1">
        <v>0</v>
      </c>
      <c r="BS42" s="1">
        <f t="shared" si="35"/>
        <v>0.3415922014622258</v>
      </c>
      <c r="BT42" s="1">
        <f t="shared" si="5"/>
        <v>0.3867162803971414</v>
      </c>
      <c r="BU42" s="1">
        <f t="shared" si="5"/>
        <v>0.39358441341045353</v>
      </c>
      <c r="BV42" s="1">
        <f t="shared" si="5"/>
        <v>0.39465123071155611</v>
      </c>
      <c r="BW42" s="1">
        <f t="shared" si="5"/>
        <v>0.39481745705771337</v>
      </c>
      <c r="BX42" s="1">
        <f t="shared" si="5"/>
        <v>0.39484337025824801</v>
      </c>
      <c r="BY42" s="1">
        <f t="shared" si="5"/>
        <v>0.39484741020089792</v>
      </c>
      <c r="BZ42" s="1">
        <f t="shared" si="5"/>
        <v>0.39484804004704999</v>
      </c>
      <c r="CA42" s="1">
        <f t="shared" si="5"/>
        <v>0.39484813824322279</v>
      </c>
      <c r="CB42" s="1">
        <f t="shared" si="5"/>
        <v>0.39484815355250286</v>
      </c>
      <c r="CC42" s="1">
        <f t="shared" si="5"/>
        <v>0.39484815593929717</v>
      </c>
      <c r="CD42" s="1">
        <f t="shared" si="5"/>
        <v>0.39484815631141046</v>
      </c>
      <c r="CE42" s="1">
        <f t="shared" si="5"/>
        <v>0.39484815636942483</v>
      </c>
      <c r="CF42" s="1">
        <f t="shared" si="5"/>
        <v>0.39484815637846954</v>
      </c>
      <c r="CG42" s="1">
        <f t="shared" si="5"/>
        <v>0.39484815637987963</v>
      </c>
      <c r="CH42" s="1">
        <f t="shared" si="5"/>
        <v>0.39484815638009951</v>
      </c>
      <c r="CI42" s="1">
        <f t="shared" si="5"/>
        <v>0.39484815638013382</v>
      </c>
      <c r="CJ42" s="1">
        <f t="shared" si="5"/>
        <v>0.39484815638013915</v>
      </c>
      <c r="CK42" s="1">
        <f t="shared" si="5"/>
        <v>0.39484815638013998</v>
      </c>
      <c r="CL42" s="1">
        <f t="shared" si="5"/>
        <v>0.39484815638014015</v>
      </c>
      <c r="CM42" s="1">
        <f t="shared" si="5"/>
        <v>0.39484815638014015</v>
      </c>
      <c r="CN42" s="1">
        <f t="shared" si="5"/>
        <v>0.39484815638014015</v>
      </c>
      <c r="CO42" s="1">
        <f t="shared" si="5"/>
        <v>0.39484815638014015</v>
      </c>
      <c r="CP42" s="1">
        <f t="shared" si="5"/>
        <v>0.39484815638014015</v>
      </c>
      <c r="CQ42" s="1">
        <f t="shared" si="5"/>
        <v>0.39484815638014015</v>
      </c>
      <c r="CR42" s="1">
        <f t="shared" si="5"/>
        <v>0.39484815638014015</v>
      </c>
      <c r="CS42" s="1">
        <f t="shared" si="5"/>
        <v>0.39484815638014015</v>
      </c>
      <c r="CT42" s="1">
        <f t="shared" si="5"/>
        <v>0.39484815638014015</v>
      </c>
      <c r="CU42" s="1">
        <f t="shared" si="5"/>
        <v>0.39484815638014015</v>
      </c>
      <c r="CW42" s="31"/>
      <c r="CX42" s="16">
        <f t="shared" si="36"/>
        <v>300</v>
      </c>
      <c r="CY42">
        <f t="shared" si="37"/>
        <v>193.44454151540521</v>
      </c>
      <c r="CZ42">
        <f t="shared" si="38"/>
        <v>173.20077052461761</v>
      </c>
      <c r="DA42">
        <f t="shared" si="39"/>
        <v>163.68843106055763</v>
      </c>
      <c r="DB42">
        <f t="shared" si="40"/>
        <v>155.82167714194892</v>
      </c>
      <c r="DC42">
        <f t="shared" si="41"/>
        <v>148.3241865479348</v>
      </c>
      <c r="DD42">
        <f t="shared" si="42"/>
        <v>141.04011181826982</v>
      </c>
      <c r="DE42">
        <f t="shared" si="43"/>
        <v>133.97730375540272</v>
      </c>
      <c r="DF42">
        <f t="shared" si="44"/>
        <v>127.16555025152178</v>
      </c>
      <c r="DG42">
        <f t="shared" si="45"/>
        <v>120.63520343872952</v>
      </c>
      <c r="DH42">
        <f t="shared" si="46"/>
        <v>114.4137053884086</v>
      </c>
      <c r="DI42">
        <f t="shared" si="47"/>
        <v>108.52480945516881</v>
      </c>
      <c r="DJ42">
        <f t="shared" si="48"/>
        <v>102.98824506412021</v>
      </c>
      <c r="DK42">
        <f t="shared" si="49"/>
        <v>97.819494265441818</v>
      </c>
      <c r="DL42">
        <f t="shared" si="50"/>
        <v>93.029632217098666</v>
      </c>
      <c r="DM42">
        <f t="shared" si="51"/>
        <v>88.625225012625776</v>
      </c>
      <c r="DN42">
        <f t="shared" si="52"/>
        <v>84.608283648313474</v>
      </c>
      <c r="DO42">
        <f t="shared" si="53"/>
        <v>80.97627305093711</v>
      </c>
      <c r="DP42">
        <f t="shared" si="54"/>
        <v>77.722174507935563</v>
      </c>
      <c r="DQ42">
        <f t="shared" si="55"/>
        <v>74.834599237527243</v>
      </c>
      <c r="DR42">
        <f t="shared" si="56"/>
        <v>72.297950312292059</v>
      </c>
      <c r="DS42">
        <f t="shared" si="57"/>
        <v>70.092629723050536</v>
      </c>
      <c r="DT42">
        <f t="shared" si="58"/>
        <v>68.195287040548493</v>
      </c>
      <c r="DU42">
        <f t="shared" si="59"/>
        <v>66.579105894969388</v>
      </c>
      <c r="DV42">
        <f t="shared" si="60"/>
        <v>65.214124338581357</v>
      </c>
      <c r="DW42">
        <f t="shared" si="61"/>
        <v>64.067585073222304</v>
      </c>
      <c r="DX42">
        <f t="shared" si="62"/>
        <v>63.104311498362279</v>
      </c>
      <c r="DY42">
        <f t="shared" si="63"/>
        <v>62.28710555270451</v>
      </c>
      <c r="DZ42">
        <f t="shared" si="64"/>
        <v>61.577163368070131</v>
      </c>
      <c r="EA42" s="16">
        <f t="shared" si="7"/>
        <v>24.313619224514184</v>
      </c>
    </row>
    <row r="43" spans="5:131" x14ac:dyDescent="0.3">
      <c r="E43" s="33"/>
      <c r="F43" s="17">
        <f t="shared" si="3"/>
        <v>300</v>
      </c>
      <c r="G43" s="17">
        <f t="shared" si="3"/>
        <v>287.20458331783175</v>
      </c>
      <c r="H43" s="15">
        <f t="shared" si="8"/>
        <v>274.47945650127724</v>
      </c>
      <c r="I43" s="15">
        <f t="shared" si="9"/>
        <v>261.8940321639696</v>
      </c>
      <c r="J43" s="15">
        <f t="shared" si="10"/>
        <v>249.51598121594634</v>
      </c>
      <c r="K43" s="15">
        <f t="shared" si="11"/>
        <v>237.41039374200506</v>
      </c>
      <c r="L43" s="15">
        <f t="shared" si="12"/>
        <v>225.63897720725109</v>
      </c>
      <c r="M43" s="15">
        <f t="shared" si="13"/>
        <v>214.25930321091425</v>
      </c>
      <c r="N43" s="15">
        <f t="shared" si="14"/>
        <v>203.32411301536484</v>
      </c>
      <c r="O43" s="15">
        <f t="shared" si="15"/>
        <v>192.88069089761214</v>
      </c>
      <c r="P43" s="15">
        <f t="shared" si="16"/>
        <v>182.97031304318836</v>
      </c>
      <c r="Q43" s="15">
        <f t="shared" si="17"/>
        <v>173.62777826859903</v>
      </c>
      <c r="R43" s="15">
        <f t="shared" si="18"/>
        <v>164.88102536165556</v>
      </c>
      <c r="S43" s="15">
        <f t="shared" si="19"/>
        <v>156.750840312197</v>
      </c>
      <c r="T43" s="17">
        <f t="shared" si="3"/>
        <v>149.25065521040003</v>
      </c>
      <c r="U43" s="15">
        <f t="shared" si="20"/>
        <v>142.38643915412484</v>
      </c>
      <c r="V43" s="15">
        <f t="shared" si="21"/>
        <v>136.15668016384484</v>
      </c>
      <c r="W43" s="15">
        <f t="shared" si="22"/>
        <v>130.55245588106129</v>
      </c>
      <c r="X43" s="15">
        <f t="shared" si="23"/>
        <v>125.55758974443702</v>
      </c>
      <c r="Y43" s="15">
        <f t="shared" si="24"/>
        <v>121.14888841078448</v>
      </c>
      <c r="Z43" s="15">
        <f t="shared" si="25"/>
        <v>117.29645542188669</v>
      </c>
      <c r="AA43" s="15">
        <f t="shared" si="26"/>
        <v>113.96407551228953</v>
      </c>
      <c r="AB43" s="15">
        <f t="shared" si="27"/>
        <v>111.10966350062358</v>
      </c>
      <c r="AC43" s="15">
        <f t="shared" si="28"/>
        <v>108.6857713950151</v>
      </c>
      <c r="AD43" s="15">
        <f t="shared" si="29"/>
        <v>106.64014715446079</v>
      </c>
      <c r="AE43" s="15">
        <f t="shared" si="30"/>
        <v>104.91633846200996</v>
      </c>
      <c r="AF43" s="15">
        <f t="shared" si="31"/>
        <v>103.45433485945037</v>
      </c>
      <c r="AG43" s="15">
        <f t="shared" si="32"/>
        <v>102.19124164338528</v>
      </c>
      <c r="AH43" s="15">
        <f t="shared" si="33"/>
        <v>101.06197900608416</v>
      </c>
      <c r="AI43" s="17">
        <f t="shared" si="65"/>
        <v>100</v>
      </c>
      <c r="AK43" s="31"/>
      <c r="AL43" s="3">
        <f t="shared" si="34"/>
        <v>-1076400000</v>
      </c>
      <c r="AM43" s="3">
        <f t="shared" si="4"/>
        <v>-1030218121.5702672</v>
      </c>
      <c r="AN43" s="3">
        <f t="shared" si="4"/>
        <v>-984291836.91536868</v>
      </c>
      <c r="AO43" s="3">
        <f t="shared" si="4"/>
        <v>-938873542.71053743</v>
      </c>
      <c r="AP43" s="3">
        <f t="shared" si="4"/>
        <v>-894209288.40698195</v>
      </c>
      <c r="AQ43" s="3">
        <f t="shared" si="4"/>
        <v>-850535719.05097401</v>
      </c>
      <c r="AR43" s="3">
        <f t="shared" si="4"/>
        <v>-808077155.03549659</v>
      </c>
      <c r="AS43" s="3">
        <f t="shared" si="4"/>
        <v>-767042849.88903391</v>
      </c>
      <c r="AT43" s="3">
        <f t="shared" si="4"/>
        <v>-727624463.51336467</v>
      </c>
      <c r="AU43" s="3">
        <f t="shared" si="4"/>
        <v>-689993783.90351832</v>
      </c>
      <c r="AV43" s="3">
        <f t="shared" si="4"/>
        <v>-654300725.46031189</v>
      </c>
      <c r="AW43" s="3">
        <f t="shared" si="4"/>
        <v>-620671626.6945585</v>
      </c>
      <c r="AX43" s="3">
        <f t="shared" si="4"/>
        <v>-589207864.58415401</v>
      </c>
      <c r="AY43" s="3">
        <f t="shared" si="4"/>
        <v>-559984797.2426393</v>
      </c>
      <c r="AZ43" s="3">
        <f t="shared" si="4"/>
        <v>-533051041.04540968</v>
      </c>
      <c r="BA43" s="3">
        <f t="shared" si="4"/>
        <v>-508428083.0794912</v>
      </c>
      <c r="BB43" s="3">
        <f t="shared" si="4"/>
        <v>-486110224.85845441</v>
      </c>
      <c r="BC43" s="3">
        <f t="shared" si="4"/>
        <v>-466064848.77701616</v>
      </c>
      <c r="BD43" s="3">
        <f t="shared" si="4"/>
        <v>-448232994.84626383</v>
      </c>
      <c r="BE43" s="3">
        <f t="shared" si="4"/>
        <v>-432530231.89937639</v>
      </c>
      <c r="BF43" s="3">
        <f t="shared" si="4"/>
        <v>-418847804.71114689</v>
      </c>
      <c r="BG43" s="3">
        <f t="shared" si="4"/>
        <v>-407054036.32815814</v>
      </c>
      <c r="BH43" s="3">
        <f t="shared" si="4"/>
        <v>-396995963.33166361</v>
      </c>
      <c r="BI43" s="3">
        <f t="shared" si="4"/>
        <v>-388501180.70256555</v>
      </c>
      <c r="BJ43" s="3">
        <f t="shared" si="4"/>
        <v>-381379872.36081231</v>
      </c>
      <c r="BK43" s="3">
        <f t="shared" si="4"/>
        <v>-375427003.23093855</v>
      </c>
      <c r="BL43" s="3">
        <f t="shared" si="4"/>
        <v>-370424648.75451529</v>
      </c>
      <c r="BM43" s="3">
        <f t="shared" si="4"/>
        <v>-366144438.03946006</v>
      </c>
      <c r="BN43" s="3">
        <f t="shared" si="4"/>
        <v>-362350087.21810395</v>
      </c>
      <c r="BO43" s="3">
        <f t="shared" si="4"/>
        <v>-358800000</v>
      </c>
      <c r="BQ43" s="31"/>
      <c r="BR43" s="1">
        <v>0</v>
      </c>
      <c r="BS43" s="1">
        <f t="shared" si="35"/>
        <v>0.3415922014622258</v>
      </c>
      <c r="BT43" s="1">
        <f t="shared" si="5"/>
        <v>0.3867162803971414</v>
      </c>
      <c r="BU43" s="1">
        <f t="shared" si="5"/>
        <v>0.39358441341045353</v>
      </c>
      <c r="BV43" s="1">
        <f t="shared" si="5"/>
        <v>0.39465123071155611</v>
      </c>
      <c r="BW43" s="1">
        <f t="shared" si="5"/>
        <v>0.39481745705771337</v>
      </c>
      <c r="BX43" s="1">
        <f t="shared" si="5"/>
        <v>0.39484337025824801</v>
      </c>
      <c r="BY43" s="1">
        <f t="shared" si="5"/>
        <v>0.39484741020089792</v>
      </c>
      <c r="BZ43" s="1">
        <f t="shared" si="5"/>
        <v>0.39484804004704999</v>
      </c>
      <c r="CA43" s="1">
        <f t="shared" si="5"/>
        <v>0.39484813824322279</v>
      </c>
      <c r="CB43" s="1">
        <f t="shared" si="5"/>
        <v>0.39484815355250286</v>
      </c>
      <c r="CC43" s="1">
        <f t="shared" si="5"/>
        <v>0.39484815593929717</v>
      </c>
      <c r="CD43" s="1">
        <f t="shared" si="5"/>
        <v>0.39484815631141046</v>
      </c>
      <c r="CE43" s="1">
        <f t="shared" si="5"/>
        <v>0.39484815636942483</v>
      </c>
      <c r="CF43" s="1">
        <f t="shared" si="5"/>
        <v>0.39484815637846954</v>
      </c>
      <c r="CG43" s="1">
        <f t="shared" si="5"/>
        <v>0.39484815637987963</v>
      </c>
      <c r="CH43" s="1">
        <f t="shared" si="5"/>
        <v>0.39484815638009951</v>
      </c>
      <c r="CI43" s="1">
        <f t="shared" si="5"/>
        <v>0.39484815638013382</v>
      </c>
      <c r="CJ43" s="1">
        <f t="shared" si="5"/>
        <v>0.39484815638013915</v>
      </c>
      <c r="CK43" s="1">
        <f t="shared" si="5"/>
        <v>0.39484815638013998</v>
      </c>
      <c r="CL43" s="1">
        <f t="shared" si="5"/>
        <v>0.39484815638014015</v>
      </c>
      <c r="CM43" s="1">
        <f t="shared" si="5"/>
        <v>0.39484815638014015</v>
      </c>
      <c r="CN43" s="1">
        <f t="shared" si="5"/>
        <v>0.39484815638014015</v>
      </c>
      <c r="CO43" s="1">
        <f t="shared" si="5"/>
        <v>0.39484815638014015</v>
      </c>
      <c r="CP43" s="1">
        <f t="shared" si="5"/>
        <v>0.39484815638014015</v>
      </c>
      <c r="CQ43" s="1">
        <f t="shared" si="5"/>
        <v>0.39484815638014015</v>
      </c>
      <c r="CR43" s="1">
        <f t="shared" si="5"/>
        <v>0.39484815638014015</v>
      </c>
      <c r="CS43" s="1">
        <f t="shared" si="5"/>
        <v>0.39484815638014015</v>
      </c>
      <c r="CT43" s="1">
        <f t="shared" si="5"/>
        <v>0.39484815638014015</v>
      </c>
      <c r="CU43" s="1">
        <f t="shared" si="5"/>
        <v>0.39484815638014015</v>
      </c>
      <c r="CW43" s="31"/>
      <c r="CX43" s="16">
        <f t="shared" si="36"/>
        <v>300</v>
      </c>
      <c r="CY43">
        <f t="shared" si="37"/>
        <v>193.44454151540521</v>
      </c>
      <c r="CZ43">
        <f t="shared" si="38"/>
        <v>173.20077052461764</v>
      </c>
      <c r="DA43">
        <f t="shared" si="39"/>
        <v>163.68843106055763</v>
      </c>
      <c r="DB43">
        <f t="shared" si="40"/>
        <v>155.82167714194892</v>
      </c>
      <c r="DC43">
        <f t="shared" si="41"/>
        <v>148.32418654793483</v>
      </c>
      <c r="DD43">
        <f t="shared" si="42"/>
        <v>141.04011181826985</v>
      </c>
      <c r="DE43">
        <f t="shared" si="43"/>
        <v>133.97730375540274</v>
      </c>
      <c r="DF43">
        <f t="shared" si="44"/>
        <v>127.16555025152181</v>
      </c>
      <c r="DG43">
        <f t="shared" si="45"/>
        <v>120.63520343872956</v>
      </c>
      <c r="DH43">
        <f t="shared" si="46"/>
        <v>114.41370538840863</v>
      </c>
      <c r="DI43">
        <f t="shared" si="47"/>
        <v>108.52480945516885</v>
      </c>
      <c r="DJ43">
        <f t="shared" si="48"/>
        <v>102.98824506412025</v>
      </c>
      <c r="DK43">
        <f t="shared" si="49"/>
        <v>97.819494265441875</v>
      </c>
      <c r="DL43">
        <f t="shared" si="50"/>
        <v>93.029632217098694</v>
      </c>
      <c r="DM43">
        <f t="shared" si="51"/>
        <v>88.625225012625791</v>
      </c>
      <c r="DN43">
        <f t="shared" si="52"/>
        <v>84.608283648313503</v>
      </c>
      <c r="DO43">
        <f t="shared" si="53"/>
        <v>80.976273050937138</v>
      </c>
      <c r="DP43">
        <f t="shared" si="54"/>
        <v>77.722174507935577</v>
      </c>
      <c r="DQ43">
        <f t="shared" si="55"/>
        <v>74.834599237527243</v>
      </c>
      <c r="DR43">
        <f t="shared" si="56"/>
        <v>72.297950312292087</v>
      </c>
      <c r="DS43">
        <f t="shared" si="57"/>
        <v>70.09262972305055</v>
      </c>
      <c r="DT43">
        <f t="shared" si="58"/>
        <v>68.195287040548507</v>
      </c>
      <c r="DU43">
        <f t="shared" si="59"/>
        <v>66.579105894969402</v>
      </c>
      <c r="DV43">
        <f t="shared" si="60"/>
        <v>65.214124338581371</v>
      </c>
      <c r="DW43">
        <f t="shared" si="61"/>
        <v>64.067585073222318</v>
      </c>
      <c r="DX43">
        <f t="shared" si="62"/>
        <v>63.104311498362286</v>
      </c>
      <c r="DY43">
        <f t="shared" si="63"/>
        <v>62.287105552704524</v>
      </c>
      <c r="DZ43">
        <f t="shared" si="64"/>
        <v>61.577163368070138</v>
      </c>
      <c r="EA43" s="16">
        <f t="shared" si="7"/>
        <v>24.313619224514184</v>
      </c>
    </row>
    <row r="44" spans="5:131" x14ac:dyDescent="0.3">
      <c r="E44" s="33"/>
      <c r="F44" s="17">
        <f t="shared" si="3"/>
        <v>300</v>
      </c>
      <c r="G44" s="17">
        <f t="shared" si="3"/>
        <v>287.20458331783186</v>
      </c>
      <c r="H44" s="15">
        <f t="shared" si="8"/>
        <v>274.47945650127735</v>
      </c>
      <c r="I44" s="15">
        <f t="shared" si="9"/>
        <v>261.89403216396965</v>
      </c>
      <c r="J44" s="15">
        <f t="shared" si="10"/>
        <v>249.51598121594637</v>
      </c>
      <c r="K44" s="15">
        <f t="shared" si="11"/>
        <v>237.41039374200511</v>
      </c>
      <c r="L44" s="15">
        <f t="shared" si="12"/>
        <v>225.63897720725117</v>
      </c>
      <c r="M44" s="15">
        <f t="shared" si="13"/>
        <v>214.25930321091428</v>
      </c>
      <c r="N44" s="15">
        <f t="shared" si="14"/>
        <v>203.3241130153649</v>
      </c>
      <c r="O44" s="15">
        <f t="shared" si="15"/>
        <v>192.8806908976122</v>
      </c>
      <c r="P44" s="15">
        <f t="shared" si="16"/>
        <v>182.97031304318838</v>
      </c>
      <c r="Q44" s="15">
        <f t="shared" si="17"/>
        <v>173.62777826859906</v>
      </c>
      <c r="R44" s="15">
        <f t="shared" si="18"/>
        <v>164.88102536165562</v>
      </c>
      <c r="S44" s="15">
        <f t="shared" si="19"/>
        <v>156.75084031219706</v>
      </c>
      <c r="T44" s="17">
        <f t="shared" si="3"/>
        <v>149.25065521040005</v>
      </c>
      <c r="U44" s="15">
        <f t="shared" si="20"/>
        <v>142.3864391541249</v>
      </c>
      <c r="V44" s="15">
        <f t="shared" si="21"/>
        <v>136.1566801638449</v>
      </c>
      <c r="W44" s="15">
        <f t="shared" si="22"/>
        <v>130.55245588106135</v>
      </c>
      <c r="X44" s="15">
        <f t="shared" si="23"/>
        <v>125.55758974443708</v>
      </c>
      <c r="Y44" s="15">
        <f t="shared" si="24"/>
        <v>121.14888841078451</v>
      </c>
      <c r="Z44" s="15">
        <f t="shared" si="25"/>
        <v>117.29645542188672</v>
      </c>
      <c r="AA44" s="15">
        <f t="shared" si="26"/>
        <v>113.96407551228955</v>
      </c>
      <c r="AB44" s="15">
        <f t="shared" si="27"/>
        <v>111.10966350062361</v>
      </c>
      <c r="AC44" s="15">
        <f t="shared" si="28"/>
        <v>108.68577139501512</v>
      </c>
      <c r="AD44" s="15">
        <f t="shared" si="29"/>
        <v>106.64014715446083</v>
      </c>
      <c r="AE44" s="15">
        <f t="shared" si="30"/>
        <v>104.91633846201</v>
      </c>
      <c r="AF44" s="15">
        <f t="shared" si="31"/>
        <v>103.45433485945038</v>
      </c>
      <c r="AG44" s="15">
        <f t="shared" si="32"/>
        <v>102.19124164338528</v>
      </c>
      <c r="AH44" s="15">
        <f t="shared" si="33"/>
        <v>101.06197900608416</v>
      </c>
      <c r="AI44" s="17">
        <f t="shared" si="65"/>
        <v>100</v>
      </c>
      <c r="AK44" s="31"/>
      <c r="AL44" s="3">
        <f t="shared" si="34"/>
        <v>-1076400000</v>
      </c>
      <c r="AM44" s="3">
        <f t="shared" si="4"/>
        <v>-1030218121.5702674</v>
      </c>
      <c r="AN44" s="3">
        <f t="shared" si="4"/>
        <v>-984291836.91536891</v>
      </c>
      <c r="AO44" s="3">
        <f t="shared" si="4"/>
        <v>-938873542.71053755</v>
      </c>
      <c r="AP44" s="3">
        <f t="shared" si="4"/>
        <v>-894209288.40698218</v>
      </c>
      <c r="AQ44" s="3">
        <f t="shared" si="4"/>
        <v>-850535719.05097425</v>
      </c>
      <c r="AR44" s="3">
        <f t="shared" si="4"/>
        <v>-808077155.03549683</v>
      </c>
      <c r="AS44" s="3">
        <f t="shared" si="4"/>
        <v>-767042849.88903415</v>
      </c>
      <c r="AT44" s="3">
        <f t="shared" si="4"/>
        <v>-727624463.51336491</v>
      </c>
      <c r="AU44" s="3">
        <f t="shared" si="4"/>
        <v>-689993783.90351844</v>
      </c>
      <c r="AV44" s="3">
        <f t="shared" si="4"/>
        <v>-654300725.46031201</v>
      </c>
      <c r="AW44" s="3">
        <f t="shared" si="4"/>
        <v>-620671626.69455862</v>
      </c>
      <c r="AX44" s="3">
        <f t="shared" si="4"/>
        <v>-589207864.58415425</v>
      </c>
      <c r="AY44" s="3">
        <f t="shared" si="4"/>
        <v>-559984797.24263954</v>
      </c>
      <c r="AZ44" s="3">
        <f t="shared" si="4"/>
        <v>-533051041.04540986</v>
      </c>
      <c r="BA44" s="3">
        <f t="shared" si="4"/>
        <v>-508428083.07949144</v>
      </c>
      <c r="BB44" s="3">
        <f t="shared" si="4"/>
        <v>-486110224.85845464</v>
      </c>
      <c r="BC44" s="3">
        <f t="shared" si="4"/>
        <v>-466064848.77701628</v>
      </c>
      <c r="BD44" s="3">
        <f t="shared" si="4"/>
        <v>-448232994.846264</v>
      </c>
      <c r="BE44" s="3">
        <f t="shared" si="4"/>
        <v>-432530231.89937657</v>
      </c>
      <c r="BF44" s="3">
        <f t="shared" si="4"/>
        <v>-418847804.71114713</v>
      </c>
      <c r="BG44" s="3">
        <f t="shared" si="4"/>
        <v>-407054036.3281582</v>
      </c>
      <c r="BH44" s="3">
        <f t="shared" si="4"/>
        <v>-396995963.33166367</v>
      </c>
      <c r="BI44" s="3">
        <f t="shared" si="4"/>
        <v>-388501180.70256561</v>
      </c>
      <c r="BJ44" s="3">
        <f t="shared" ref="BJ44:BJ65" si="66">-($C$11*$C$10*AD12/$C$8)</f>
        <v>-381379872.36081243</v>
      </c>
      <c r="BK44" s="3">
        <f t="shared" ref="BK44:BK65" si="67">-($C$11*$C$10*AE12/$C$8)</f>
        <v>-375427003.23093867</v>
      </c>
      <c r="BL44" s="3">
        <f t="shared" ref="BL44:BL65" si="68">-($C$11*$C$10*AF12/$C$8)</f>
        <v>-370424648.75451535</v>
      </c>
      <c r="BM44" s="3">
        <f t="shared" ref="BM44:BM65" si="69">-($C$11*$C$10*AG12/$C$8)</f>
        <v>-366144438.03946012</v>
      </c>
      <c r="BN44" s="3">
        <f t="shared" ref="BN44:BN65" si="70">-($C$11*$C$10*AH12/$C$8)</f>
        <v>-362350087.218104</v>
      </c>
      <c r="BO44" s="3">
        <f t="shared" ref="BO44:BO65" si="71">-($C$11*$C$10*AI12/$C$8)</f>
        <v>-358800000</v>
      </c>
      <c r="BQ44" s="31"/>
      <c r="BR44" s="1">
        <v>0</v>
      </c>
      <c r="BS44" s="1">
        <f t="shared" si="35"/>
        <v>0.3415922014622258</v>
      </c>
      <c r="BT44" s="1">
        <f t="shared" si="5"/>
        <v>0.3867162803971414</v>
      </c>
      <c r="BU44" s="1">
        <f t="shared" si="5"/>
        <v>0.39358441341045353</v>
      </c>
      <c r="BV44" s="1">
        <f t="shared" si="5"/>
        <v>0.39465123071155611</v>
      </c>
      <c r="BW44" s="1">
        <f t="shared" si="5"/>
        <v>0.39481745705771337</v>
      </c>
      <c r="BX44" s="1">
        <f t="shared" si="5"/>
        <v>0.39484337025824801</v>
      </c>
      <c r="BY44" s="1">
        <f t="shared" si="5"/>
        <v>0.39484741020089792</v>
      </c>
      <c r="BZ44" s="1">
        <f t="shared" si="5"/>
        <v>0.39484804004704999</v>
      </c>
      <c r="CA44" s="1">
        <f t="shared" si="5"/>
        <v>0.39484813824322279</v>
      </c>
      <c r="CB44" s="1">
        <f t="shared" si="5"/>
        <v>0.39484815355250286</v>
      </c>
      <c r="CC44" s="1">
        <f t="shared" si="5"/>
        <v>0.39484815593929717</v>
      </c>
      <c r="CD44" s="1">
        <f t="shared" si="5"/>
        <v>0.39484815631141046</v>
      </c>
      <c r="CE44" s="1">
        <f t="shared" si="5"/>
        <v>0.39484815636942483</v>
      </c>
      <c r="CF44" s="1">
        <f t="shared" si="5"/>
        <v>0.39484815637846954</v>
      </c>
      <c r="CG44" s="1">
        <f t="shared" si="5"/>
        <v>0.39484815637987963</v>
      </c>
      <c r="CH44" s="1">
        <f t="shared" si="5"/>
        <v>0.39484815638009951</v>
      </c>
      <c r="CI44" s="1">
        <f t="shared" si="5"/>
        <v>0.39484815638013382</v>
      </c>
      <c r="CJ44" s="1">
        <f t="shared" si="5"/>
        <v>0.39484815638013915</v>
      </c>
      <c r="CK44" s="1">
        <f t="shared" si="5"/>
        <v>0.39484815638013998</v>
      </c>
      <c r="CL44" s="1">
        <f t="shared" si="5"/>
        <v>0.39484815638014015</v>
      </c>
      <c r="CM44" s="1">
        <f t="shared" si="5"/>
        <v>0.39484815638014015</v>
      </c>
      <c r="CN44" s="1">
        <f t="shared" si="5"/>
        <v>0.39484815638014015</v>
      </c>
      <c r="CO44" s="1">
        <f t="shared" si="5"/>
        <v>0.39484815638014015</v>
      </c>
      <c r="CP44" s="1">
        <f t="shared" si="5"/>
        <v>0.39484815638014015</v>
      </c>
      <c r="CQ44" s="1">
        <f t="shared" si="5"/>
        <v>0.39484815638014015</v>
      </c>
      <c r="CR44" s="1">
        <f t="shared" si="5"/>
        <v>0.39484815638014015</v>
      </c>
      <c r="CS44" s="1">
        <f t="shared" si="5"/>
        <v>0.39484815638014015</v>
      </c>
      <c r="CT44" s="1">
        <f t="shared" si="5"/>
        <v>0.39484815638014015</v>
      </c>
      <c r="CU44" s="1">
        <f t="shared" si="5"/>
        <v>0.39484815638014015</v>
      </c>
      <c r="CW44" s="31"/>
      <c r="CX44" s="16">
        <f t="shared" si="36"/>
        <v>300</v>
      </c>
      <c r="CY44">
        <f t="shared" si="37"/>
        <v>193.44454151540526</v>
      </c>
      <c r="CZ44">
        <f t="shared" si="38"/>
        <v>173.2007705246177</v>
      </c>
      <c r="DA44">
        <f t="shared" si="39"/>
        <v>163.68843106055763</v>
      </c>
      <c r="DB44">
        <f t="shared" si="40"/>
        <v>155.82167714194892</v>
      </c>
      <c r="DC44">
        <f t="shared" si="41"/>
        <v>148.32418654793486</v>
      </c>
      <c r="DD44">
        <f t="shared" si="42"/>
        <v>141.04011181826991</v>
      </c>
      <c r="DE44">
        <f t="shared" si="43"/>
        <v>133.97730375540277</v>
      </c>
      <c r="DF44">
        <f t="shared" si="44"/>
        <v>127.16555025152186</v>
      </c>
      <c r="DG44">
        <f t="shared" si="45"/>
        <v>120.6352034387296</v>
      </c>
      <c r="DH44">
        <f t="shared" si="46"/>
        <v>114.41370538840866</v>
      </c>
      <c r="DI44">
        <f t="shared" si="47"/>
        <v>108.52480945516886</v>
      </c>
      <c r="DJ44">
        <f t="shared" si="48"/>
        <v>102.98824506412029</v>
      </c>
      <c r="DK44">
        <f t="shared" si="49"/>
        <v>97.819494265441904</v>
      </c>
      <c r="DL44">
        <f t="shared" si="50"/>
        <v>93.029632217098722</v>
      </c>
      <c r="DM44">
        <f t="shared" si="51"/>
        <v>88.625225012625819</v>
      </c>
      <c r="DN44">
        <f t="shared" si="52"/>
        <v>84.608283648313531</v>
      </c>
      <c r="DO44">
        <f t="shared" si="53"/>
        <v>80.976273050937166</v>
      </c>
      <c r="DP44">
        <f t="shared" si="54"/>
        <v>77.72217450793562</v>
      </c>
      <c r="DQ44">
        <f t="shared" si="55"/>
        <v>74.834599237527271</v>
      </c>
      <c r="DR44">
        <f t="shared" si="56"/>
        <v>72.297950312292116</v>
      </c>
      <c r="DS44">
        <f t="shared" si="57"/>
        <v>70.092629723050578</v>
      </c>
      <c r="DT44">
        <f t="shared" si="58"/>
        <v>68.195287040548507</v>
      </c>
      <c r="DU44">
        <f t="shared" si="59"/>
        <v>66.579105894969416</v>
      </c>
      <c r="DV44">
        <f t="shared" si="60"/>
        <v>65.214124338581399</v>
      </c>
      <c r="DW44">
        <f t="shared" si="61"/>
        <v>64.067585073222347</v>
      </c>
      <c r="DX44">
        <f t="shared" si="62"/>
        <v>63.1043114983623</v>
      </c>
      <c r="DY44">
        <f t="shared" si="63"/>
        <v>62.287105552704524</v>
      </c>
      <c r="DZ44">
        <f t="shared" si="64"/>
        <v>61.577163368070138</v>
      </c>
      <c r="EA44" s="16">
        <f t="shared" si="7"/>
        <v>24.313619224514184</v>
      </c>
    </row>
    <row r="45" spans="5:131" x14ac:dyDescent="0.3">
      <c r="E45" s="33"/>
      <c r="F45" s="17">
        <f t="shared" si="3"/>
        <v>300</v>
      </c>
      <c r="G45" s="17">
        <f t="shared" si="3"/>
        <v>287.20458331783186</v>
      </c>
      <c r="H45" s="15">
        <f t="shared" si="8"/>
        <v>274.47945650127741</v>
      </c>
      <c r="I45" s="15">
        <f t="shared" si="9"/>
        <v>261.89403216396971</v>
      </c>
      <c r="J45" s="15">
        <f t="shared" si="10"/>
        <v>249.51598121594648</v>
      </c>
      <c r="K45" s="15">
        <f t="shared" si="11"/>
        <v>237.4103937420052</v>
      </c>
      <c r="L45" s="15">
        <f t="shared" si="12"/>
        <v>225.63897720725123</v>
      </c>
      <c r="M45" s="15">
        <f t="shared" si="13"/>
        <v>214.25930321091437</v>
      </c>
      <c r="N45" s="15">
        <f t="shared" si="14"/>
        <v>203.32411301536499</v>
      </c>
      <c r="O45" s="15">
        <f t="shared" si="15"/>
        <v>192.88069089761228</v>
      </c>
      <c r="P45" s="15">
        <f t="shared" si="16"/>
        <v>182.97031304318847</v>
      </c>
      <c r="Q45" s="15">
        <f t="shared" si="17"/>
        <v>173.62777826859917</v>
      </c>
      <c r="R45" s="15">
        <f t="shared" si="18"/>
        <v>164.88102536165567</v>
      </c>
      <c r="S45" s="15">
        <f t="shared" si="19"/>
        <v>156.75084031219711</v>
      </c>
      <c r="T45" s="17">
        <f t="shared" si="3"/>
        <v>149.25065521040014</v>
      </c>
      <c r="U45" s="15">
        <f t="shared" si="20"/>
        <v>142.38643915412496</v>
      </c>
      <c r="V45" s="15">
        <f t="shared" si="21"/>
        <v>136.15668016384495</v>
      </c>
      <c r="W45" s="15">
        <f t="shared" si="22"/>
        <v>130.55245588106141</v>
      </c>
      <c r="X45" s="15">
        <f t="shared" si="23"/>
        <v>125.55758974443715</v>
      </c>
      <c r="Y45" s="15">
        <f t="shared" si="24"/>
        <v>121.14888841078459</v>
      </c>
      <c r="Z45" s="15">
        <f t="shared" si="25"/>
        <v>117.29645542188679</v>
      </c>
      <c r="AA45" s="15">
        <f t="shared" si="26"/>
        <v>113.96407551228961</v>
      </c>
      <c r="AB45" s="15">
        <f t="shared" si="27"/>
        <v>111.10966350062367</v>
      </c>
      <c r="AC45" s="15">
        <f t="shared" si="28"/>
        <v>108.68577139501517</v>
      </c>
      <c r="AD45" s="15">
        <f t="shared" si="29"/>
        <v>106.64014715446088</v>
      </c>
      <c r="AE45" s="15">
        <f t="shared" si="30"/>
        <v>104.91633846201003</v>
      </c>
      <c r="AF45" s="15">
        <f t="shared" si="31"/>
        <v>103.45433485945043</v>
      </c>
      <c r="AG45" s="15">
        <f t="shared" si="32"/>
        <v>102.19124164338533</v>
      </c>
      <c r="AH45" s="15">
        <f t="shared" si="33"/>
        <v>101.06197900608419</v>
      </c>
      <c r="AI45" s="17">
        <f t="shared" si="65"/>
        <v>100</v>
      </c>
      <c r="AK45" s="31"/>
      <c r="AL45" s="3">
        <f t="shared" si="34"/>
        <v>-1076400000</v>
      </c>
      <c r="AM45" s="3">
        <f t="shared" ref="AM45:AM65" si="72">-($C$11*$C$10*G13/$C$8)</f>
        <v>-1030218121.5702677</v>
      </c>
      <c r="AN45" s="3">
        <f t="shared" ref="AN45:AN65" si="73">-($C$11*$C$10*H13/$C$8)</f>
        <v>-984291836.91536927</v>
      </c>
      <c r="AO45" s="3">
        <f t="shared" ref="AO45:AO65" si="74">-($C$11*$C$10*I13/$C$8)</f>
        <v>-938873542.71053779</v>
      </c>
      <c r="AP45" s="3">
        <f t="shared" ref="AP45:AP65" si="75">-($C$11*$C$10*J13/$C$8)</f>
        <v>-894209288.40698254</v>
      </c>
      <c r="AQ45" s="3">
        <f t="shared" ref="AQ45:AQ65" si="76">-($C$11*$C$10*K13/$C$8)</f>
        <v>-850535719.05097449</v>
      </c>
      <c r="AR45" s="3">
        <f t="shared" ref="AR45:AR65" si="77">-($C$11*$C$10*L13/$C$8)</f>
        <v>-808077155.03549719</v>
      </c>
      <c r="AS45" s="3">
        <f t="shared" ref="AS45:AS65" si="78">-($C$11*$C$10*M13/$C$8)</f>
        <v>-767042849.88903439</v>
      </c>
      <c r="AT45" s="3">
        <f t="shared" ref="AT45:AT65" si="79">-($C$11*$C$10*N13/$C$8)</f>
        <v>-727624463.51336515</v>
      </c>
      <c r="AU45" s="3">
        <f t="shared" ref="AU45:AU65" si="80">-($C$11*$C$10*O13/$C$8)</f>
        <v>-689993783.9035188</v>
      </c>
      <c r="AV45" s="3">
        <f t="shared" ref="AV45:AV65" si="81">-($C$11*$C$10*P13/$C$8)</f>
        <v>-654300725.46031237</v>
      </c>
      <c r="AW45" s="3">
        <f t="shared" ref="AW45:AW65" si="82">-($C$11*$C$10*Q13/$C$8)</f>
        <v>-620671626.6945591</v>
      </c>
      <c r="AX45" s="3">
        <f t="shared" ref="AX45:AX65" si="83">-($C$11*$C$10*R13/$C$8)</f>
        <v>-589207864.58415449</v>
      </c>
      <c r="AY45" s="3">
        <f t="shared" ref="AY45:AY65" si="84">-($C$11*$C$10*S13/$C$8)</f>
        <v>-559984797.24263966</v>
      </c>
      <c r="AZ45" s="3">
        <f t="shared" ref="AZ45:AZ65" si="85">-($C$11*$C$10*T13/$C$8)</f>
        <v>-533051041.0454101</v>
      </c>
      <c r="BA45" s="3">
        <f t="shared" ref="BA45:BA65" si="86">-($C$11*$C$10*U13/$C$8)</f>
        <v>-508428083.07949162</v>
      </c>
      <c r="BB45" s="3">
        <f t="shared" ref="BB45:BB65" si="87">-($C$11*$C$10*V13/$C$8)</f>
        <v>-486110224.85845482</v>
      </c>
      <c r="BC45" s="3">
        <f t="shared" ref="BC45:BC65" si="88">-($C$11*$C$10*W13/$C$8)</f>
        <v>-466064848.77701646</v>
      </c>
      <c r="BD45" s="3">
        <f t="shared" ref="BD45:BD65" si="89">-($C$11*$C$10*X13/$C$8)</f>
        <v>-448232994.84626424</v>
      </c>
      <c r="BE45" s="3">
        <f t="shared" ref="BE45:BE65" si="90">-($C$11*$C$10*Y13/$C$8)</f>
        <v>-432530231.89937681</v>
      </c>
      <c r="BF45" s="3">
        <f t="shared" ref="BF45:BF65" si="91">-($C$11*$C$10*Z13/$C$8)</f>
        <v>-418847804.71114731</v>
      </c>
      <c r="BG45" s="3">
        <f t="shared" ref="BG45:BG65" si="92">-($C$11*$C$10*AA13/$C$8)</f>
        <v>-407054036.32815838</v>
      </c>
      <c r="BH45" s="3">
        <f t="shared" ref="BH45:BH65" si="93">-($C$11*$C$10*AB13/$C$8)</f>
        <v>-396995963.33166391</v>
      </c>
      <c r="BI45" s="3">
        <f t="shared" ref="BI45:BI65" si="94">-($C$11*$C$10*AC13/$C$8)</f>
        <v>-388501180.70256579</v>
      </c>
      <c r="BJ45" s="3">
        <f t="shared" si="66"/>
        <v>-381379872.36081254</v>
      </c>
      <c r="BK45" s="3">
        <f t="shared" si="67"/>
        <v>-375427003.23093873</v>
      </c>
      <c r="BL45" s="3">
        <f t="shared" si="68"/>
        <v>-370424648.75451547</v>
      </c>
      <c r="BM45" s="3">
        <f t="shared" si="69"/>
        <v>-366144438.0394603</v>
      </c>
      <c r="BN45" s="3">
        <f t="shared" si="70"/>
        <v>-362350087.21810412</v>
      </c>
      <c r="BO45" s="3">
        <f t="shared" si="71"/>
        <v>-358800000</v>
      </c>
      <c r="BQ45" s="31"/>
      <c r="BR45" s="1">
        <v>0</v>
      </c>
      <c r="BS45" s="1">
        <f t="shared" si="35"/>
        <v>0.3415922014622258</v>
      </c>
      <c r="BT45" s="1">
        <f t="shared" si="5"/>
        <v>0.3867162803971414</v>
      </c>
      <c r="BU45" s="1">
        <f t="shared" si="5"/>
        <v>0.39358441341045353</v>
      </c>
      <c r="BV45" s="1">
        <f t="shared" si="5"/>
        <v>0.39465123071155611</v>
      </c>
      <c r="BW45" s="1">
        <f t="shared" si="5"/>
        <v>0.39481745705771337</v>
      </c>
      <c r="BX45" s="1">
        <f t="shared" si="5"/>
        <v>0.39484337025824801</v>
      </c>
      <c r="BY45" s="1">
        <f t="shared" si="5"/>
        <v>0.39484741020089792</v>
      </c>
      <c r="BZ45" s="1">
        <f t="shared" si="5"/>
        <v>0.39484804004704999</v>
      </c>
      <c r="CA45" s="1">
        <f t="shared" si="5"/>
        <v>0.39484813824322279</v>
      </c>
      <c r="CB45" s="1">
        <f t="shared" si="5"/>
        <v>0.39484815355250286</v>
      </c>
      <c r="CC45" s="1">
        <f t="shared" si="5"/>
        <v>0.39484815593929717</v>
      </c>
      <c r="CD45" s="1">
        <f t="shared" si="5"/>
        <v>0.39484815631141046</v>
      </c>
      <c r="CE45" s="1">
        <f t="shared" si="5"/>
        <v>0.39484815636942483</v>
      </c>
      <c r="CF45" s="1">
        <f t="shared" si="5"/>
        <v>0.39484815637846954</v>
      </c>
      <c r="CG45" s="1">
        <f t="shared" si="5"/>
        <v>0.39484815637987963</v>
      </c>
      <c r="CH45" s="1">
        <f t="shared" si="5"/>
        <v>0.39484815638009951</v>
      </c>
      <c r="CI45" s="1">
        <f t="shared" si="5"/>
        <v>0.39484815638013382</v>
      </c>
      <c r="CJ45" s="1">
        <f t="shared" si="5"/>
        <v>0.39484815638013915</v>
      </c>
      <c r="CK45" s="1">
        <f t="shared" si="5"/>
        <v>0.39484815638013998</v>
      </c>
      <c r="CL45" s="1">
        <f t="shared" ref="BT45:CU54" si="95">$C$17/($C$18-$C$19*CK45)</f>
        <v>0.39484815638014015</v>
      </c>
      <c r="CM45" s="1">
        <f t="shared" si="95"/>
        <v>0.39484815638014015</v>
      </c>
      <c r="CN45" s="1">
        <f t="shared" si="95"/>
        <v>0.39484815638014015</v>
      </c>
      <c r="CO45" s="1">
        <f t="shared" si="95"/>
        <v>0.39484815638014015</v>
      </c>
      <c r="CP45" s="1">
        <f t="shared" si="95"/>
        <v>0.39484815638014015</v>
      </c>
      <c r="CQ45" s="1">
        <f t="shared" si="95"/>
        <v>0.39484815638014015</v>
      </c>
      <c r="CR45" s="1">
        <f t="shared" si="95"/>
        <v>0.39484815638014015</v>
      </c>
      <c r="CS45" s="1">
        <f t="shared" si="95"/>
        <v>0.39484815638014015</v>
      </c>
      <c r="CT45" s="1">
        <f t="shared" si="95"/>
        <v>0.39484815638014015</v>
      </c>
      <c r="CU45" s="1">
        <f t="shared" si="95"/>
        <v>0.39484815638014015</v>
      </c>
      <c r="CW45" s="31"/>
      <c r="CX45" s="16">
        <f t="shared" si="36"/>
        <v>300</v>
      </c>
      <c r="CY45">
        <f t="shared" si="37"/>
        <v>193.44454151540529</v>
      </c>
      <c r="CZ45">
        <f t="shared" si="38"/>
        <v>173.20077052461775</v>
      </c>
      <c r="DA45">
        <f t="shared" si="39"/>
        <v>163.68843106055769</v>
      </c>
      <c r="DB45">
        <f t="shared" si="40"/>
        <v>155.82167714194901</v>
      </c>
      <c r="DC45">
        <f t="shared" si="41"/>
        <v>148.32418654793491</v>
      </c>
      <c r="DD45">
        <f t="shared" si="42"/>
        <v>141.04011181826996</v>
      </c>
      <c r="DE45">
        <f t="shared" si="43"/>
        <v>133.97730375540283</v>
      </c>
      <c r="DF45">
        <f t="shared" si="44"/>
        <v>127.16555025152191</v>
      </c>
      <c r="DG45">
        <f t="shared" si="45"/>
        <v>120.63520343872966</v>
      </c>
      <c r="DH45">
        <f t="shared" si="46"/>
        <v>114.4137053884087</v>
      </c>
      <c r="DI45">
        <f t="shared" si="47"/>
        <v>108.52480945516893</v>
      </c>
      <c r="DJ45">
        <f t="shared" si="48"/>
        <v>102.98824506412033</v>
      </c>
      <c r="DK45">
        <f t="shared" si="49"/>
        <v>97.819494265441932</v>
      </c>
      <c r="DL45">
        <f t="shared" si="50"/>
        <v>93.029632217098779</v>
      </c>
      <c r="DM45">
        <f t="shared" si="51"/>
        <v>88.625225012625862</v>
      </c>
      <c r="DN45">
        <f t="shared" si="52"/>
        <v>84.608283648313574</v>
      </c>
      <c r="DO45">
        <f t="shared" si="53"/>
        <v>80.976273050937195</v>
      </c>
      <c r="DP45">
        <f t="shared" si="54"/>
        <v>77.722174507935648</v>
      </c>
      <c r="DQ45">
        <f t="shared" si="55"/>
        <v>74.834599237527314</v>
      </c>
      <c r="DR45">
        <f t="shared" si="56"/>
        <v>72.297950312292159</v>
      </c>
      <c r="DS45">
        <f t="shared" si="57"/>
        <v>70.092629723050607</v>
      </c>
      <c r="DT45">
        <f t="shared" si="58"/>
        <v>68.195287040548564</v>
      </c>
      <c r="DU45">
        <f t="shared" si="59"/>
        <v>66.579105894969445</v>
      </c>
      <c r="DV45">
        <f t="shared" si="60"/>
        <v>65.214124338581428</v>
      </c>
      <c r="DW45">
        <f t="shared" si="61"/>
        <v>64.067585073222361</v>
      </c>
      <c r="DX45">
        <f t="shared" si="62"/>
        <v>63.104311498362328</v>
      </c>
      <c r="DY45">
        <f t="shared" si="63"/>
        <v>62.28710555270456</v>
      </c>
      <c r="DZ45">
        <f t="shared" si="64"/>
        <v>61.577163368070167</v>
      </c>
      <c r="EA45" s="16">
        <f t="shared" ref="EA45:EA65" si="96">(DZ45*$C$19-AI13)/($C$18-$C$19*CT45)</f>
        <v>24.313619224514198</v>
      </c>
    </row>
    <row r="46" spans="5:131" x14ac:dyDescent="0.3">
      <c r="E46" s="33"/>
      <c r="F46" s="17">
        <f t="shared" si="3"/>
        <v>300</v>
      </c>
      <c r="G46" s="17">
        <f t="shared" si="3"/>
        <v>287.20458331783192</v>
      </c>
      <c r="H46" s="15">
        <f t="shared" si="8"/>
        <v>274.47945650127747</v>
      </c>
      <c r="I46" s="15">
        <f t="shared" si="9"/>
        <v>261.89403216396983</v>
      </c>
      <c r="J46" s="15">
        <f t="shared" si="10"/>
        <v>249.51598121594654</v>
      </c>
      <c r="K46" s="15">
        <f t="shared" si="11"/>
        <v>237.41039374200528</v>
      </c>
      <c r="L46" s="15">
        <f t="shared" si="12"/>
        <v>225.63897720725134</v>
      </c>
      <c r="M46" s="15">
        <f t="shared" si="13"/>
        <v>214.25930321091448</v>
      </c>
      <c r="N46" s="15">
        <f t="shared" si="14"/>
        <v>203.32411301536507</v>
      </c>
      <c r="O46" s="15">
        <f t="shared" si="15"/>
        <v>192.88069089761234</v>
      </c>
      <c r="P46" s="15">
        <f t="shared" si="16"/>
        <v>182.97031304318853</v>
      </c>
      <c r="Q46" s="15">
        <f t="shared" si="17"/>
        <v>173.62777826859923</v>
      </c>
      <c r="R46" s="15">
        <f t="shared" si="18"/>
        <v>164.88102536165576</v>
      </c>
      <c r="S46" s="15">
        <f t="shared" si="19"/>
        <v>156.7508403121972</v>
      </c>
      <c r="T46" s="17">
        <f t="shared" si="3"/>
        <v>149.25065521040023</v>
      </c>
      <c r="U46" s="15">
        <f t="shared" si="20"/>
        <v>142.38643915412504</v>
      </c>
      <c r="V46" s="15">
        <f t="shared" si="21"/>
        <v>136.15668016384504</v>
      </c>
      <c r="W46" s="15">
        <f t="shared" si="22"/>
        <v>130.55245588106149</v>
      </c>
      <c r="X46" s="15">
        <f t="shared" si="23"/>
        <v>125.55758974443722</v>
      </c>
      <c r="Y46" s="15">
        <f t="shared" si="24"/>
        <v>121.14888841078465</v>
      </c>
      <c r="Z46" s="15">
        <f t="shared" si="25"/>
        <v>117.29645542188683</v>
      </c>
      <c r="AA46" s="15">
        <f t="shared" si="26"/>
        <v>113.96407551228967</v>
      </c>
      <c r="AB46" s="15">
        <f t="shared" si="27"/>
        <v>111.10966350062372</v>
      </c>
      <c r="AC46" s="15">
        <f t="shared" si="28"/>
        <v>108.68577139501521</v>
      </c>
      <c r="AD46" s="15">
        <f t="shared" si="29"/>
        <v>106.64014715446091</v>
      </c>
      <c r="AE46" s="15">
        <f t="shared" si="30"/>
        <v>104.91633846201006</v>
      </c>
      <c r="AF46" s="15">
        <f t="shared" si="31"/>
        <v>103.45433485945046</v>
      </c>
      <c r="AG46" s="15">
        <f t="shared" si="32"/>
        <v>102.19124164338535</v>
      </c>
      <c r="AH46" s="15">
        <f t="shared" si="33"/>
        <v>101.06197900608419</v>
      </c>
      <c r="AI46" s="17">
        <f t="shared" si="65"/>
        <v>100</v>
      </c>
      <c r="AK46" s="31"/>
      <c r="AL46" s="3">
        <f t="shared" si="34"/>
        <v>-1076400000</v>
      </c>
      <c r="AM46" s="3">
        <f t="shared" si="72"/>
        <v>-1030218121.5702678</v>
      </c>
      <c r="AN46" s="3">
        <f t="shared" si="73"/>
        <v>-984291836.91536951</v>
      </c>
      <c r="AO46" s="3">
        <f t="shared" si="74"/>
        <v>-938873542.71053815</v>
      </c>
      <c r="AP46" s="3">
        <f t="shared" si="75"/>
        <v>-894209288.40698278</v>
      </c>
      <c r="AQ46" s="3">
        <f t="shared" si="76"/>
        <v>-850535719.05097473</v>
      </c>
      <c r="AR46" s="3">
        <f t="shared" si="77"/>
        <v>-808077155.03549755</v>
      </c>
      <c r="AS46" s="3">
        <f t="shared" si="78"/>
        <v>-767042849.88903463</v>
      </c>
      <c r="AT46" s="3">
        <f t="shared" si="79"/>
        <v>-727624463.51336551</v>
      </c>
      <c r="AU46" s="3">
        <f t="shared" si="80"/>
        <v>-689993783.90351915</v>
      </c>
      <c r="AV46" s="3">
        <f t="shared" si="81"/>
        <v>-654300725.4603126</v>
      </c>
      <c r="AW46" s="3">
        <f t="shared" si="82"/>
        <v>-620671626.69455922</v>
      </c>
      <c r="AX46" s="3">
        <f t="shared" si="83"/>
        <v>-589207864.58415484</v>
      </c>
      <c r="AY46" s="3">
        <f t="shared" si="84"/>
        <v>-559984797.24264014</v>
      </c>
      <c r="AZ46" s="3">
        <f t="shared" si="85"/>
        <v>-533051041.04541051</v>
      </c>
      <c r="BA46" s="3">
        <f t="shared" si="86"/>
        <v>-508428083.07949191</v>
      </c>
      <c r="BB46" s="3">
        <f t="shared" si="87"/>
        <v>-486110224.85845512</v>
      </c>
      <c r="BC46" s="3">
        <f t="shared" si="88"/>
        <v>-466064848.77701676</v>
      </c>
      <c r="BD46" s="3">
        <f t="shared" si="89"/>
        <v>-448232994.84626442</v>
      </c>
      <c r="BE46" s="3">
        <f t="shared" si="90"/>
        <v>-432530231.89937705</v>
      </c>
      <c r="BF46" s="3">
        <f t="shared" si="91"/>
        <v>-418847804.71114749</v>
      </c>
      <c r="BG46" s="3">
        <f t="shared" si="92"/>
        <v>-407054036.32815856</v>
      </c>
      <c r="BH46" s="3">
        <f t="shared" si="93"/>
        <v>-396995963.3316642</v>
      </c>
      <c r="BI46" s="3">
        <f t="shared" si="94"/>
        <v>-388501180.70256597</v>
      </c>
      <c r="BJ46" s="3">
        <f t="shared" si="66"/>
        <v>-381379872.36081272</v>
      </c>
      <c r="BK46" s="3">
        <f t="shared" si="67"/>
        <v>-375427003.23093897</v>
      </c>
      <c r="BL46" s="3">
        <f t="shared" si="68"/>
        <v>-370424648.75451559</v>
      </c>
      <c r="BM46" s="3">
        <f t="shared" si="69"/>
        <v>-366144438.03946036</v>
      </c>
      <c r="BN46" s="3">
        <f t="shared" si="70"/>
        <v>-362350087.21810418</v>
      </c>
      <c r="BO46" s="3">
        <f t="shared" si="71"/>
        <v>-358800000</v>
      </c>
      <c r="BQ46" s="31"/>
      <c r="BR46" s="1">
        <v>0</v>
      </c>
      <c r="BS46" s="1">
        <f t="shared" si="35"/>
        <v>0.3415922014622258</v>
      </c>
      <c r="BT46" s="1">
        <f t="shared" si="95"/>
        <v>0.3867162803971414</v>
      </c>
      <c r="BU46" s="1">
        <f t="shared" si="95"/>
        <v>0.39358441341045353</v>
      </c>
      <c r="BV46" s="1">
        <f t="shared" si="95"/>
        <v>0.39465123071155611</v>
      </c>
      <c r="BW46" s="1">
        <f t="shared" si="95"/>
        <v>0.39481745705771337</v>
      </c>
      <c r="BX46" s="1">
        <f t="shared" si="95"/>
        <v>0.39484337025824801</v>
      </c>
      <c r="BY46" s="1">
        <f t="shared" si="95"/>
        <v>0.39484741020089792</v>
      </c>
      <c r="BZ46" s="1">
        <f t="shared" si="95"/>
        <v>0.39484804004704999</v>
      </c>
      <c r="CA46" s="1">
        <f t="shared" si="95"/>
        <v>0.39484813824322279</v>
      </c>
      <c r="CB46" s="1">
        <f t="shared" si="95"/>
        <v>0.39484815355250286</v>
      </c>
      <c r="CC46" s="1">
        <f t="shared" si="95"/>
        <v>0.39484815593929717</v>
      </c>
      <c r="CD46" s="1">
        <f t="shared" si="95"/>
        <v>0.39484815631141046</v>
      </c>
      <c r="CE46" s="1">
        <f t="shared" si="95"/>
        <v>0.39484815636942483</v>
      </c>
      <c r="CF46" s="1">
        <f t="shared" si="95"/>
        <v>0.39484815637846954</v>
      </c>
      <c r="CG46" s="1">
        <f t="shared" si="95"/>
        <v>0.39484815637987963</v>
      </c>
      <c r="CH46" s="1">
        <f t="shared" si="95"/>
        <v>0.39484815638009951</v>
      </c>
      <c r="CI46" s="1">
        <f t="shared" si="95"/>
        <v>0.39484815638013382</v>
      </c>
      <c r="CJ46" s="1">
        <f t="shared" si="95"/>
        <v>0.39484815638013915</v>
      </c>
      <c r="CK46" s="1">
        <f t="shared" si="95"/>
        <v>0.39484815638013998</v>
      </c>
      <c r="CL46" s="1">
        <f t="shared" si="95"/>
        <v>0.39484815638014015</v>
      </c>
      <c r="CM46" s="1">
        <f t="shared" si="95"/>
        <v>0.39484815638014015</v>
      </c>
      <c r="CN46" s="1">
        <f t="shared" si="95"/>
        <v>0.39484815638014015</v>
      </c>
      <c r="CO46" s="1">
        <f t="shared" si="95"/>
        <v>0.39484815638014015</v>
      </c>
      <c r="CP46" s="1">
        <f t="shared" si="95"/>
        <v>0.39484815638014015</v>
      </c>
      <c r="CQ46" s="1">
        <f t="shared" si="95"/>
        <v>0.39484815638014015</v>
      </c>
      <c r="CR46" s="1">
        <f t="shared" si="95"/>
        <v>0.39484815638014015</v>
      </c>
      <c r="CS46" s="1">
        <f t="shared" si="95"/>
        <v>0.39484815638014015</v>
      </c>
      <c r="CT46" s="1">
        <f t="shared" si="95"/>
        <v>0.39484815638014015</v>
      </c>
      <c r="CU46" s="1">
        <f t="shared" si="95"/>
        <v>0.39484815638014015</v>
      </c>
      <c r="CW46" s="31"/>
      <c r="CX46" s="16">
        <f t="shared" si="36"/>
        <v>300</v>
      </c>
      <c r="CY46">
        <f t="shared" si="37"/>
        <v>193.44454151540529</v>
      </c>
      <c r="CZ46">
        <f t="shared" si="38"/>
        <v>173.20077052461775</v>
      </c>
      <c r="DA46">
        <f t="shared" si="39"/>
        <v>163.68843106055775</v>
      </c>
      <c r="DB46">
        <f t="shared" si="40"/>
        <v>155.82167714194904</v>
      </c>
      <c r="DC46">
        <f t="shared" si="41"/>
        <v>148.32418654793494</v>
      </c>
      <c r="DD46">
        <f t="shared" si="42"/>
        <v>141.04011181826999</v>
      </c>
      <c r="DE46">
        <f t="shared" si="43"/>
        <v>133.97730375540289</v>
      </c>
      <c r="DF46">
        <f t="shared" si="44"/>
        <v>127.16555025152195</v>
      </c>
      <c r="DG46">
        <f t="shared" si="45"/>
        <v>120.6352034387297</v>
      </c>
      <c r="DH46">
        <f t="shared" si="46"/>
        <v>114.41370538840876</v>
      </c>
      <c r="DI46">
        <f t="shared" si="47"/>
        <v>108.52480945516896</v>
      </c>
      <c r="DJ46">
        <f t="shared" si="48"/>
        <v>102.98824506412038</v>
      </c>
      <c r="DK46">
        <f t="shared" si="49"/>
        <v>97.819494265441989</v>
      </c>
      <c r="DL46">
        <f t="shared" si="50"/>
        <v>93.029632217098822</v>
      </c>
      <c r="DM46">
        <f t="shared" si="51"/>
        <v>88.625225012625904</v>
      </c>
      <c r="DN46">
        <f t="shared" si="52"/>
        <v>84.60828364831363</v>
      </c>
      <c r="DO46">
        <f t="shared" si="53"/>
        <v>80.976273050937266</v>
      </c>
      <c r="DP46">
        <f t="shared" si="54"/>
        <v>77.722174507935705</v>
      </c>
      <c r="DQ46">
        <f t="shared" si="55"/>
        <v>74.834599237527357</v>
      </c>
      <c r="DR46">
        <f t="shared" si="56"/>
        <v>72.297950312292187</v>
      </c>
      <c r="DS46">
        <f t="shared" si="57"/>
        <v>70.092629723050635</v>
      </c>
      <c r="DT46">
        <f t="shared" si="58"/>
        <v>68.195287040548592</v>
      </c>
      <c r="DU46">
        <f t="shared" si="59"/>
        <v>66.579105894969473</v>
      </c>
      <c r="DV46">
        <f t="shared" si="60"/>
        <v>65.214124338581442</v>
      </c>
      <c r="DW46">
        <f t="shared" si="61"/>
        <v>64.067585073222389</v>
      </c>
      <c r="DX46">
        <f t="shared" si="62"/>
        <v>63.10431149836235</v>
      </c>
      <c r="DY46">
        <f t="shared" si="63"/>
        <v>62.287105552704574</v>
      </c>
      <c r="DZ46">
        <f t="shared" si="64"/>
        <v>61.577163368070174</v>
      </c>
      <c r="EA46" s="16">
        <f t="shared" si="96"/>
        <v>24.313619224514202</v>
      </c>
    </row>
    <row r="47" spans="5:131" x14ac:dyDescent="0.3">
      <c r="E47" s="33"/>
      <c r="F47" s="17">
        <f t="shared" si="3"/>
        <v>300</v>
      </c>
      <c r="G47" s="17">
        <f t="shared" si="3"/>
        <v>287.20458331783192</v>
      </c>
      <c r="H47" s="15">
        <f t="shared" si="8"/>
        <v>274.47945650127753</v>
      </c>
      <c r="I47" s="15">
        <f t="shared" si="9"/>
        <v>261.89403216396988</v>
      </c>
      <c r="J47" s="15">
        <f t="shared" si="10"/>
        <v>249.51598121594662</v>
      </c>
      <c r="K47" s="15">
        <f t="shared" si="11"/>
        <v>237.41039374200534</v>
      </c>
      <c r="L47" s="15">
        <f t="shared" si="12"/>
        <v>225.63897720725134</v>
      </c>
      <c r="M47" s="15">
        <f t="shared" si="13"/>
        <v>214.25930321091451</v>
      </c>
      <c r="N47" s="15">
        <f t="shared" si="14"/>
        <v>203.32411301536513</v>
      </c>
      <c r="O47" s="15">
        <f t="shared" si="15"/>
        <v>192.88069089761242</v>
      </c>
      <c r="P47" s="15">
        <f t="shared" si="16"/>
        <v>182.97031304318861</v>
      </c>
      <c r="Q47" s="15">
        <f t="shared" si="17"/>
        <v>173.62777826859929</v>
      </c>
      <c r="R47" s="15">
        <f t="shared" si="18"/>
        <v>164.88102536165582</v>
      </c>
      <c r="S47" s="15">
        <f t="shared" si="19"/>
        <v>156.75084031219728</v>
      </c>
      <c r="T47" s="17">
        <f t="shared" si="3"/>
        <v>149.25065521040028</v>
      </c>
      <c r="U47" s="15">
        <f t="shared" si="20"/>
        <v>142.3864391541251</v>
      </c>
      <c r="V47" s="15">
        <f t="shared" si="21"/>
        <v>136.15668016384507</v>
      </c>
      <c r="W47" s="15">
        <f t="shared" si="22"/>
        <v>130.55245588106155</v>
      </c>
      <c r="X47" s="15">
        <f t="shared" si="23"/>
        <v>125.55758974443728</v>
      </c>
      <c r="Y47" s="15">
        <f t="shared" si="24"/>
        <v>121.14888841078469</v>
      </c>
      <c r="Z47" s="15">
        <f t="shared" si="25"/>
        <v>117.29645542188688</v>
      </c>
      <c r="AA47" s="15">
        <f t="shared" si="26"/>
        <v>113.9640755122897</v>
      </c>
      <c r="AB47" s="15">
        <f t="shared" si="27"/>
        <v>111.10966350062375</v>
      </c>
      <c r="AC47" s="15">
        <f t="shared" si="28"/>
        <v>108.68577139501525</v>
      </c>
      <c r="AD47" s="15">
        <f t="shared" si="29"/>
        <v>106.64014715446092</v>
      </c>
      <c r="AE47" s="15">
        <f t="shared" si="30"/>
        <v>104.91633846201006</v>
      </c>
      <c r="AF47" s="15">
        <f t="shared" si="31"/>
        <v>103.45433485945046</v>
      </c>
      <c r="AG47" s="15">
        <f t="shared" si="32"/>
        <v>102.19124164338535</v>
      </c>
      <c r="AH47" s="15">
        <f t="shared" si="33"/>
        <v>101.06197900608419</v>
      </c>
      <c r="AI47" s="17">
        <f t="shared" si="65"/>
        <v>100</v>
      </c>
      <c r="AK47" s="31"/>
      <c r="AL47" s="3">
        <f t="shared" si="34"/>
        <v>-1076400000</v>
      </c>
      <c r="AM47" s="3">
        <f t="shared" si="72"/>
        <v>-1030218121.570268</v>
      </c>
      <c r="AN47" s="3">
        <f t="shared" si="73"/>
        <v>-984291836.91536975</v>
      </c>
      <c r="AO47" s="3">
        <f t="shared" si="74"/>
        <v>-938873542.71053863</v>
      </c>
      <c r="AP47" s="3">
        <f t="shared" si="75"/>
        <v>-894209288.40698302</v>
      </c>
      <c r="AQ47" s="3">
        <f t="shared" si="76"/>
        <v>-850535719.05097508</v>
      </c>
      <c r="AR47" s="3">
        <f t="shared" si="77"/>
        <v>-808077155.03549767</v>
      </c>
      <c r="AS47" s="3">
        <f t="shared" si="78"/>
        <v>-767042849.88903487</v>
      </c>
      <c r="AT47" s="3">
        <f t="shared" si="79"/>
        <v>-727624463.51336575</v>
      </c>
      <c r="AU47" s="3">
        <f t="shared" si="80"/>
        <v>-689993783.90351927</v>
      </c>
      <c r="AV47" s="3">
        <f t="shared" si="81"/>
        <v>-654300725.46031284</v>
      </c>
      <c r="AW47" s="3">
        <f t="shared" si="82"/>
        <v>-620671626.69455945</v>
      </c>
      <c r="AX47" s="3">
        <f t="shared" si="83"/>
        <v>-589207864.58415508</v>
      </c>
      <c r="AY47" s="3">
        <f t="shared" si="84"/>
        <v>-559984797.24264038</v>
      </c>
      <c r="AZ47" s="3">
        <f t="shared" si="85"/>
        <v>-533051041.04541069</v>
      </c>
      <c r="BA47" s="3">
        <f t="shared" si="86"/>
        <v>-508428083.07949215</v>
      </c>
      <c r="BB47" s="3">
        <f t="shared" si="87"/>
        <v>-486110224.85845536</v>
      </c>
      <c r="BC47" s="3">
        <f t="shared" si="88"/>
        <v>-466064848.777017</v>
      </c>
      <c r="BD47" s="3">
        <f t="shared" si="89"/>
        <v>-448232994.8462646</v>
      </c>
      <c r="BE47" s="3">
        <f t="shared" si="90"/>
        <v>-432530231.89937717</v>
      </c>
      <c r="BF47" s="3">
        <f t="shared" si="91"/>
        <v>-418847804.71114761</v>
      </c>
      <c r="BG47" s="3">
        <f t="shared" si="92"/>
        <v>-407054036.32815874</v>
      </c>
      <c r="BH47" s="3">
        <f t="shared" si="93"/>
        <v>-396995963.33166426</v>
      </c>
      <c r="BI47" s="3">
        <f t="shared" si="94"/>
        <v>-388501180.70256603</v>
      </c>
      <c r="BJ47" s="3">
        <f t="shared" si="66"/>
        <v>-381379872.36081278</v>
      </c>
      <c r="BK47" s="3">
        <f t="shared" si="67"/>
        <v>-375427003.23093897</v>
      </c>
      <c r="BL47" s="3">
        <f t="shared" si="68"/>
        <v>-370424648.75451565</v>
      </c>
      <c r="BM47" s="3">
        <f t="shared" si="69"/>
        <v>-366144438.03946036</v>
      </c>
      <c r="BN47" s="3">
        <f t="shared" si="70"/>
        <v>-362350087.21810418</v>
      </c>
      <c r="BO47" s="3">
        <f t="shared" si="71"/>
        <v>-358800000</v>
      </c>
      <c r="BQ47" s="31"/>
      <c r="BR47" s="1">
        <v>0</v>
      </c>
      <c r="BS47" s="1">
        <f t="shared" si="35"/>
        <v>0.3415922014622258</v>
      </c>
      <c r="BT47" s="1">
        <f t="shared" si="95"/>
        <v>0.3867162803971414</v>
      </c>
      <c r="BU47" s="1">
        <f t="shared" si="95"/>
        <v>0.39358441341045353</v>
      </c>
      <c r="BV47" s="1">
        <f t="shared" si="95"/>
        <v>0.39465123071155611</v>
      </c>
      <c r="BW47" s="1">
        <f t="shared" si="95"/>
        <v>0.39481745705771337</v>
      </c>
      <c r="BX47" s="1">
        <f t="shared" si="95"/>
        <v>0.39484337025824801</v>
      </c>
      <c r="BY47" s="1">
        <f t="shared" si="95"/>
        <v>0.39484741020089792</v>
      </c>
      <c r="BZ47" s="1">
        <f t="shared" si="95"/>
        <v>0.39484804004704999</v>
      </c>
      <c r="CA47" s="1">
        <f t="shared" si="95"/>
        <v>0.39484813824322279</v>
      </c>
      <c r="CB47" s="1">
        <f t="shared" si="95"/>
        <v>0.39484815355250286</v>
      </c>
      <c r="CC47" s="1">
        <f t="shared" si="95"/>
        <v>0.39484815593929717</v>
      </c>
      <c r="CD47" s="1">
        <f t="shared" si="95"/>
        <v>0.39484815631141046</v>
      </c>
      <c r="CE47" s="1">
        <f t="shared" si="95"/>
        <v>0.39484815636942483</v>
      </c>
      <c r="CF47" s="1">
        <f t="shared" si="95"/>
        <v>0.39484815637846954</v>
      </c>
      <c r="CG47" s="1">
        <f t="shared" si="95"/>
        <v>0.39484815637987963</v>
      </c>
      <c r="CH47" s="1">
        <f t="shared" si="95"/>
        <v>0.39484815638009951</v>
      </c>
      <c r="CI47" s="1">
        <f t="shared" si="95"/>
        <v>0.39484815638013382</v>
      </c>
      <c r="CJ47" s="1">
        <f t="shared" si="95"/>
        <v>0.39484815638013915</v>
      </c>
      <c r="CK47" s="1">
        <f t="shared" si="95"/>
        <v>0.39484815638013998</v>
      </c>
      <c r="CL47" s="1">
        <f t="shared" si="95"/>
        <v>0.39484815638014015</v>
      </c>
      <c r="CM47" s="1">
        <f t="shared" si="95"/>
        <v>0.39484815638014015</v>
      </c>
      <c r="CN47" s="1">
        <f t="shared" si="95"/>
        <v>0.39484815638014015</v>
      </c>
      <c r="CO47" s="1">
        <f t="shared" si="95"/>
        <v>0.39484815638014015</v>
      </c>
      <c r="CP47" s="1">
        <f t="shared" si="95"/>
        <v>0.39484815638014015</v>
      </c>
      <c r="CQ47" s="1">
        <f t="shared" si="95"/>
        <v>0.39484815638014015</v>
      </c>
      <c r="CR47" s="1">
        <f t="shared" si="95"/>
        <v>0.39484815638014015</v>
      </c>
      <c r="CS47" s="1">
        <f t="shared" si="95"/>
        <v>0.39484815638014015</v>
      </c>
      <c r="CT47" s="1">
        <f t="shared" si="95"/>
        <v>0.39484815638014015</v>
      </c>
      <c r="CU47" s="1">
        <f t="shared" si="95"/>
        <v>0.39484815638014015</v>
      </c>
      <c r="CW47" s="31"/>
      <c r="CX47" s="16">
        <f t="shared" si="36"/>
        <v>300</v>
      </c>
      <c r="CY47">
        <f t="shared" si="37"/>
        <v>193.44454151540529</v>
      </c>
      <c r="CZ47">
        <f t="shared" si="38"/>
        <v>173.20077052461778</v>
      </c>
      <c r="DA47">
        <f t="shared" si="39"/>
        <v>163.6884310605578</v>
      </c>
      <c r="DB47">
        <f t="shared" si="40"/>
        <v>155.8216771419491</v>
      </c>
      <c r="DC47">
        <f t="shared" si="41"/>
        <v>148.324186547935</v>
      </c>
      <c r="DD47">
        <f t="shared" si="42"/>
        <v>141.04011181827002</v>
      </c>
      <c r="DE47">
        <f t="shared" si="43"/>
        <v>133.97730375540291</v>
      </c>
      <c r="DF47">
        <f t="shared" si="44"/>
        <v>127.16555025152201</v>
      </c>
      <c r="DG47">
        <f t="shared" si="45"/>
        <v>120.63520343872973</v>
      </c>
      <c r="DH47">
        <f t="shared" si="46"/>
        <v>114.4137053884088</v>
      </c>
      <c r="DI47">
        <f t="shared" si="47"/>
        <v>108.52480945516901</v>
      </c>
      <c r="DJ47">
        <f t="shared" si="48"/>
        <v>102.98824506412042</v>
      </c>
      <c r="DK47">
        <f t="shared" si="49"/>
        <v>97.819494265442046</v>
      </c>
      <c r="DL47">
        <f t="shared" si="50"/>
        <v>93.029632217098865</v>
      </c>
      <c r="DM47">
        <f t="shared" si="51"/>
        <v>88.625225012625947</v>
      </c>
      <c r="DN47">
        <f t="shared" si="52"/>
        <v>84.608283648313645</v>
      </c>
      <c r="DO47">
        <f t="shared" si="53"/>
        <v>80.97627305093728</v>
      </c>
      <c r="DP47">
        <f t="shared" si="54"/>
        <v>77.722174507935733</v>
      </c>
      <c r="DQ47">
        <f t="shared" si="55"/>
        <v>74.834599237527385</v>
      </c>
      <c r="DR47">
        <f t="shared" si="56"/>
        <v>72.297950312292215</v>
      </c>
      <c r="DS47">
        <f t="shared" si="57"/>
        <v>70.092629723050663</v>
      </c>
      <c r="DT47">
        <f t="shared" si="58"/>
        <v>68.195287040548607</v>
      </c>
      <c r="DU47">
        <f t="shared" si="59"/>
        <v>66.579105894969501</v>
      </c>
      <c r="DV47">
        <f t="shared" si="60"/>
        <v>65.214124338581456</v>
      </c>
      <c r="DW47">
        <f t="shared" si="61"/>
        <v>64.067585073222389</v>
      </c>
      <c r="DX47">
        <f t="shared" si="62"/>
        <v>63.10431149836235</v>
      </c>
      <c r="DY47">
        <f t="shared" si="63"/>
        <v>62.287105552704574</v>
      </c>
      <c r="DZ47">
        <f t="shared" si="64"/>
        <v>61.577163368070174</v>
      </c>
      <c r="EA47" s="16">
        <f t="shared" si="96"/>
        <v>24.313619224514202</v>
      </c>
    </row>
    <row r="48" spans="5:131" x14ac:dyDescent="0.3">
      <c r="E48" s="33"/>
      <c r="F48" s="17">
        <f t="shared" si="3"/>
        <v>300</v>
      </c>
      <c r="G48" s="17">
        <f t="shared" si="3"/>
        <v>287.20458331783192</v>
      </c>
      <c r="H48" s="15">
        <f t="shared" si="8"/>
        <v>274.47945650127753</v>
      </c>
      <c r="I48" s="15">
        <f t="shared" si="9"/>
        <v>261.89403216396988</v>
      </c>
      <c r="J48" s="15">
        <f t="shared" si="10"/>
        <v>249.51598121594662</v>
      </c>
      <c r="K48" s="15">
        <f t="shared" si="11"/>
        <v>237.41039374200534</v>
      </c>
      <c r="L48" s="15">
        <f t="shared" si="12"/>
        <v>225.63897720725137</v>
      </c>
      <c r="M48" s="15">
        <f t="shared" si="13"/>
        <v>214.25930321091454</v>
      </c>
      <c r="N48" s="15">
        <f t="shared" si="14"/>
        <v>203.32411301536513</v>
      </c>
      <c r="O48" s="15">
        <f t="shared" si="15"/>
        <v>192.88069089761242</v>
      </c>
      <c r="P48" s="15">
        <f t="shared" si="16"/>
        <v>182.97031304318861</v>
      </c>
      <c r="Q48" s="15">
        <f t="shared" si="17"/>
        <v>173.62777826859929</v>
      </c>
      <c r="R48" s="15">
        <f t="shared" si="18"/>
        <v>164.88102536165582</v>
      </c>
      <c r="S48" s="15">
        <f t="shared" si="19"/>
        <v>156.75084031219728</v>
      </c>
      <c r="T48" s="17">
        <f t="shared" si="3"/>
        <v>149.25065521040031</v>
      </c>
      <c r="U48" s="15">
        <f t="shared" si="20"/>
        <v>142.38643915412513</v>
      </c>
      <c r="V48" s="15">
        <f t="shared" si="21"/>
        <v>136.1566801638451</v>
      </c>
      <c r="W48" s="15">
        <f t="shared" si="22"/>
        <v>130.55245588106155</v>
      </c>
      <c r="X48" s="15">
        <f t="shared" si="23"/>
        <v>125.55758974443728</v>
      </c>
      <c r="Y48" s="15">
        <f t="shared" si="24"/>
        <v>121.14888841078471</v>
      </c>
      <c r="Z48" s="15">
        <f t="shared" si="25"/>
        <v>117.29645542188689</v>
      </c>
      <c r="AA48" s="15">
        <f t="shared" si="26"/>
        <v>113.96407551228972</v>
      </c>
      <c r="AB48" s="15">
        <f t="shared" si="27"/>
        <v>111.10966350062377</v>
      </c>
      <c r="AC48" s="15">
        <f t="shared" si="28"/>
        <v>108.68577139501525</v>
      </c>
      <c r="AD48" s="15">
        <f t="shared" si="29"/>
        <v>106.64014715446095</v>
      </c>
      <c r="AE48" s="15">
        <f t="shared" si="30"/>
        <v>104.91633846201009</v>
      </c>
      <c r="AF48" s="15">
        <f t="shared" si="31"/>
        <v>103.45433485945046</v>
      </c>
      <c r="AG48" s="15">
        <f t="shared" si="32"/>
        <v>102.19124164338535</v>
      </c>
      <c r="AH48" s="15">
        <f t="shared" si="33"/>
        <v>101.06197900608419</v>
      </c>
      <c r="AI48" s="17">
        <f t="shared" si="65"/>
        <v>100</v>
      </c>
      <c r="AK48" s="31"/>
      <c r="AL48" s="3">
        <f t="shared" si="34"/>
        <v>-1076400000</v>
      </c>
      <c r="AM48" s="3">
        <f t="shared" si="72"/>
        <v>-1030218121.5702678</v>
      </c>
      <c r="AN48" s="3">
        <f t="shared" si="73"/>
        <v>-984291836.91536975</v>
      </c>
      <c r="AO48" s="3">
        <f t="shared" si="74"/>
        <v>-938873542.71053863</v>
      </c>
      <c r="AP48" s="3">
        <f t="shared" si="75"/>
        <v>-894209288.40698302</v>
      </c>
      <c r="AQ48" s="3">
        <f t="shared" si="76"/>
        <v>-850535719.05097497</v>
      </c>
      <c r="AR48" s="3">
        <f t="shared" si="77"/>
        <v>-808077155.03549767</v>
      </c>
      <c r="AS48" s="3">
        <f t="shared" si="78"/>
        <v>-767042849.88903499</v>
      </c>
      <c r="AT48" s="3">
        <f t="shared" si="79"/>
        <v>-727624463.51336575</v>
      </c>
      <c r="AU48" s="3">
        <f t="shared" si="80"/>
        <v>-689993783.90351927</v>
      </c>
      <c r="AV48" s="3">
        <f t="shared" si="81"/>
        <v>-654300725.46031296</v>
      </c>
      <c r="AW48" s="3">
        <f t="shared" si="82"/>
        <v>-620671626.69455945</v>
      </c>
      <c r="AX48" s="3">
        <f t="shared" si="83"/>
        <v>-589207864.58415508</v>
      </c>
      <c r="AY48" s="3">
        <f t="shared" si="84"/>
        <v>-559984797.24264038</v>
      </c>
      <c r="AZ48" s="3">
        <f t="shared" si="85"/>
        <v>-533051041.04541069</v>
      </c>
      <c r="BA48" s="3">
        <f t="shared" si="86"/>
        <v>-508428083.07949227</v>
      </c>
      <c r="BB48" s="3">
        <f t="shared" si="87"/>
        <v>-486110224.85845542</v>
      </c>
      <c r="BC48" s="3">
        <f t="shared" si="88"/>
        <v>-466064848.777017</v>
      </c>
      <c r="BD48" s="3">
        <f t="shared" si="89"/>
        <v>-448232994.8462646</v>
      </c>
      <c r="BE48" s="3">
        <f t="shared" si="90"/>
        <v>-432530231.89937717</v>
      </c>
      <c r="BF48" s="3">
        <f t="shared" si="91"/>
        <v>-418847804.71114761</v>
      </c>
      <c r="BG48" s="3">
        <f t="shared" si="92"/>
        <v>-407054036.3281588</v>
      </c>
      <c r="BH48" s="3">
        <f t="shared" si="93"/>
        <v>-396995963.33166426</v>
      </c>
      <c r="BI48" s="3">
        <f t="shared" si="94"/>
        <v>-388501180.70256603</v>
      </c>
      <c r="BJ48" s="3">
        <f t="shared" si="66"/>
        <v>-381379872.36081284</v>
      </c>
      <c r="BK48" s="3">
        <f t="shared" si="67"/>
        <v>-375427003.23093897</v>
      </c>
      <c r="BL48" s="3">
        <f t="shared" si="68"/>
        <v>-370424648.75451565</v>
      </c>
      <c r="BM48" s="3">
        <f t="shared" si="69"/>
        <v>-366144438.03946036</v>
      </c>
      <c r="BN48" s="3">
        <f t="shared" si="70"/>
        <v>-362350087.21810418</v>
      </c>
      <c r="BO48" s="3">
        <f t="shared" si="71"/>
        <v>-358800000</v>
      </c>
      <c r="BQ48" s="31"/>
      <c r="BR48" s="1">
        <v>0</v>
      </c>
      <c r="BS48" s="1">
        <f t="shared" si="35"/>
        <v>0.3415922014622258</v>
      </c>
      <c r="BT48" s="1">
        <f t="shared" si="95"/>
        <v>0.3867162803971414</v>
      </c>
      <c r="BU48" s="1">
        <f t="shared" si="95"/>
        <v>0.39358441341045353</v>
      </c>
      <c r="BV48" s="1">
        <f t="shared" si="95"/>
        <v>0.39465123071155611</v>
      </c>
      <c r="BW48" s="1">
        <f t="shared" si="95"/>
        <v>0.39481745705771337</v>
      </c>
      <c r="BX48" s="1">
        <f t="shared" si="95"/>
        <v>0.39484337025824801</v>
      </c>
      <c r="BY48" s="1">
        <f t="shared" si="95"/>
        <v>0.39484741020089792</v>
      </c>
      <c r="BZ48" s="1">
        <f t="shared" si="95"/>
        <v>0.39484804004704999</v>
      </c>
      <c r="CA48" s="1">
        <f t="shared" si="95"/>
        <v>0.39484813824322279</v>
      </c>
      <c r="CB48" s="1">
        <f t="shared" si="95"/>
        <v>0.39484815355250286</v>
      </c>
      <c r="CC48" s="1">
        <f t="shared" si="95"/>
        <v>0.39484815593929717</v>
      </c>
      <c r="CD48" s="1">
        <f t="shared" si="95"/>
        <v>0.39484815631141046</v>
      </c>
      <c r="CE48" s="1">
        <f t="shared" si="95"/>
        <v>0.39484815636942483</v>
      </c>
      <c r="CF48" s="1">
        <f t="shared" si="95"/>
        <v>0.39484815637846954</v>
      </c>
      <c r="CG48" s="1">
        <f t="shared" si="95"/>
        <v>0.39484815637987963</v>
      </c>
      <c r="CH48" s="1">
        <f t="shared" si="95"/>
        <v>0.39484815638009951</v>
      </c>
      <c r="CI48" s="1">
        <f t="shared" si="95"/>
        <v>0.39484815638013382</v>
      </c>
      <c r="CJ48" s="1">
        <f t="shared" si="95"/>
        <v>0.39484815638013915</v>
      </c>
      <c r="CK48" s="1">
        <f t="shared" si="95"/>
        <v>0.39484815638013998</v>
      </c>
      <c r="CL48" s="1">
        <f t="shared" si="95"/>
        <v>0.39484815638014015</v>
      </c>
      <c r="CM48" s="1">
        <f t="shared" si="95"/>
        <v>0.39484815638014015</v>
      </c>
      <c r="CN48" s="1">
        <f t="shared" si="95"/>
        <v>0.39484815638014015</v>
      </c>
      <c r="CO48" s="1">
        <f t="shared" si="95"/>
        <v>0.39484815638014015</v>
      </c>
      <c r="CP48" s="1">
        <f t="shared" si="95"/>
        <v>0.39484815638014015</v>
      </c>
      <c r="CQ48" s="1">
        <f t="shared" si="95"/>
        <v>0.39484815638014015</v>
      </c>
      <c r="CR48" s="1">
        <f t="shared" si="95"/>
        <v>0.39484815638014015</v>
      </c>
      <c r="CS48" s="1">
        <f t="shared" si="95"/>
        <v>0.39484815638014015</v>
      </c>
      <c r="CT48" s="1">
        <f t="shared" si="95"/>
        <v>0.39484815638014015</v>
      </c>
      <c r="CU48" s="1">
        <f t="shared" si="95"/>
        <v>0.39484815638014015</v>
      </c>
      <c r="CW48" s="31"/>
      <c r="CX48" s="16">
        <f t="shared" si="36"/>
        <v>300</v>
      </c>
      <c r="CY48">
        <f t="shared" si="37"/>
        <v>193.44454151540529</v>
      </c>
      <c r="CZ48">
        <f t="shared" si="38"/>
        <v>173.20077052461778</v>
      </c>
      <c r="DA48">
        <f t="shared" si="39"/>
        <v>163.6884310605578</v>
      </c>
      <c r="DB48">
        <f t="shared" si="40"/>
        <v>155.8216771419491</v>
      </c>
      <c r="DC48">
        <f t="shared" si="41"/>
        <v>148.324186547935</v>
      </c>
      <c r="DD48">
        <f t="shared" si="42"/>
        <v>141.04011181827002</v>
      </c>
      <c r="DE48">
        <f t="shared" si="43"/>
        <v>133.97730375540294</v>
      </c>
      <c r="DF48">
        <f t="shared" si="44"/>
        <v>127.16555025152201</v>
      </c>
      <c r="DG48">
        <f t="shared" si="45"/>
        <v>120.63520343872973</v>
      </c>
      <c r="DH48">
        <f t="shared" si="46"/>
        <v>114.4137053884088</v>
      </c>
      <c r="DI48">
        <f t="shared" si="47"/>
        <v>108.52480945516901</v>
      </c>
      <c r="DJ48">
        <f t="shared" si="48"/>
        <v>102.98824506412042</v>
      </c>
      <c r="DK48">
        <f t="shared" si="49"/>
        <v>97.819494265442046</v>
      </c>
      <c r="DL48">
        <f t="shared" si="50"/>
        <v>93.029632217098865</v>
      </c>
      <c r="DM48">
        <f t="shared" si="51"/>
        <v>88.625225012625975</v>
      </c>
      <c r="DN48">
        <f t="shared" si="52"/>
        <v>84.608283648313673</v>
      </c>
      <c r="DO48">
        <f t="shared" si="53"/>
        <v>80.976273050937294</v>
      </c>
      <c r="DP48">
        <f t="shared" si="54"/>
        <v>77.722174507935733</v>
      </c>
      <c r="DQ48">
        <f t="shared" si="55"/>
        <v>74.834599237527385</v>
      </c>
      <c r="DR48">
        <f t="shared" si="56"/>
        <v>72.297950312292215</v>
      </c>
      <c r="DS48">
        <f t="shared" si="57"/>
        <v>70.092629723050678</v>
      </c>
      <c r="DT48">
        <f t="shared" si="58"/>
        <v>68.195287040548621</v>
      </c>
      <c r="DU48">
        <f t="shared" si="59"/>
        <v>66.579105894969501</v>
      </c>
      <c r="DV48">
        <f t="shared" si="60"/>
        <v>65.21412433858147</v>
      </c>
      <c r="DW48">
        <f t="shared" si="61"/>
        <v>64.067585073222403</v>
      </c>
      <c r="DX48">
        <f t="shared" si="62"/>
        <v>63.10431149836235</v>
      </c>
      <c r="DY48">
        <f t="shared" si="63"/>
        <v>62.287105552704574</v>
      </c>
      <c r="DZ48">
        <f t="shared" si="64"/>
        <v>61.577163368070174</v>
      </c>
      <c r="EA48" s="16">
        <f t="shared" si="96"/>
        <v>24.313619224514202</v>
      </c>
    </row>
    <row r="49" spans="5:131" x14ac:dyDescent="0.3">
      <c r="E49" s="33"/>
      <c r="F49" s="17">
        <f t="shared" si="3"/>
        <v>300</v>
      </c>
      <c r="G49" s="17">
        <f t="shared" si="3"/>
        <v>287.20458331783192</v>
      </c>
      <c r="H49" s="15">
        <f t="shared" si="8"/>
        <v>274.47945650127747</v>
      </c>
      <c r="I49" s="15">
        <f t="shared" si="9"/>
        <v>261.89403216396983</v>
      </c>
      <c r="J49" s="15">
        <f t="shared" si="10"/>
        <v>249.51598121594654</v>
      </c>
      <c r="K49" s="15">
        <f t="shared" si="11"/>
        <v>237.41039374200528</v>
      </c>
      <c r="L49" s="15">
        <f t="shared" si="12"/>
        <v>225.63897720725134</v>
      </c>
      <c r="M49" s="15">
        <f t="shared" si="13"/>
        <v>214.25930321091451</v>
      </c>
      <c r="N49" s="15">
        <f t="shared" si="14"/>
        <v>203.32411301536513</v>
      </c>
      <c r="O49" s="15">
        <f t="shared" si="15"/>
        <v>192.88069089761242</v>
      </c>
      <c r="P49" s="15">
        <f t="shared" si="16"/>
        <v>182.97031304318861</v>
      </c>
      <c r="Q49" s="15">
        <f t="shared" si="17"/>
        <v>173.62777826859929</v>
      </c>
      <c r="R49" s="15">
        <f t="shared" si="18"/>
        <v>164.88102536165582</v>
      </c>
      <c r="S49" s="15">
        <f t="shared" si="19"/>
        <v>156.75084031219728</v>
      </c>
      <c r="T49" s="17">
        <f t="shared" si="3"/>
        <v>149.25065521040031</v>
      </c>
      <c r="U49" s="15">
        <f t="shared" si="20"/>
        <v>142.38643915412516</v>
      </c>
      <c r="V49" s="15">
        <f t="shared" si="21"/>
        <v>136.15668016384512</v>
      </c>
      <c r="W49" s="15">
        <f t="shared" si="22"/>
        <v>130.55245588106158</v>
      </c>
      <c r="X49" s="15">
        <f t="shared" si="23"/>
        <v>125.55758974443728</v>
      </c>
      <c r="Y49" s="15">
        <f t="shared" si="24"/>
        <v>121.14888841078471</v>
      </c>
      <c r="Z49" s="15">
        <f t="shared" si="25"/>
        <v>117.29645542188689</v>
      </c>
      <c r="AA49" s="15">
        <f t="shared" si="26"/>
        <v>113.96407551228972</v>
      </c>
      <c r="AB49" s="15">
        <f t="shared" si="27"/>
        <v>111.10966350062377</v>
      </c>
      <c r="AC49" s="15">
        <f t="shared" si="28"/>
        <v>108.68577139501525</v>
      </c>
      <c r="AD49" s="15">
        <f t="shared" si="29"/>
        <v>106.64014715446095</v>
      </c>
      <c r="AE49" s="15">
        <f t="shared" si="30"/>
        <v>104.91633846201009</v>
      </c>
      <c r="AF49" s="15">
        <f t="shared" si="31"/>
        <v>103.45433485945046</v>
      </c>
      <c r="AG49" s="15">
        <f t="shared" si="32"/>
        <v>102.19124164338535</v>
      </c>
      <c r="AH49" s="15">
        <f t="shared" si="33"/>
        <v>101.06197900608419</v>
      </c>
      <c r="AI49" s="17">
        <f t="shared" si="65"/>
        <v>100</v>
      </c>
      <c r="AK49" s="31"/>
      <c r="AL49" s="3">
        <f t="shared" si="34"/>
        <v>-1076400000</v>
      </c>
      <c r="AM49" s="3">
        <f t="shared" si="72"/>
        <v>-1030218121.5702678</v>
      </c>
      <c r="AN49" s="3">
        <f t="shared" si="73"/>
        <v>-984291836.91536975</v>
      </c>
      <c r="AO49" s="3">
        <f t="shared" si="74"/>
        <v>-938873542.71053815</v>
      </c>
      <c r="AP49" s="3">
        <f t="shared" si="75"/>
        <v>-894209288.40698278</v>
      </c>
      <c r="AQ49" s="3">
        <f t="shared" si="76"/>
        <v>-850535719.05097485</v>
      </c>
      <c r="AR49" s="3">
        <f t="shared" si="77"/>
        <v>-808077155.03549767</v>
      </c>
      <c r="AS49" s="3">
        <f t="shared" si="78"/>
        <v>-767042849.88903499</v>
      </c>
      <c r="AT49" s="3">
        <f t="shared" si="79"/>
        <v>-727624463.51336575</v>
      </c>
      <c r="AU49" s="3">
        <f t="shared" si="80"/>
        <v>-689993783.90351915</v>
      </c>
      <c r="AV49" s="3">
        <f t="shared" si="81"/>
        <v>-654300725.46031284</v>
      </c>
      <c r="AW49" s="3">
        <f t="shared" si="82"/>
        <v>-620671626.69455945</v>
      </c>
      <c r="AX49" s="3">
        <f t="shared" si="83"/>
        <v>-589207864.58415496</v>
      </c>
      <c r="AY49" s="3">
        <f t="shared" si="84"/>
        <v>-559984797.24264038</v>
      </c>
      <c r="AZ49" s="3">
        <f t="shared" si="85"/>
        <v>-533051041.04541069</v>
      </c>
      <c r="BA49" s="3">
        <f t="shared" si="86"/>
        <v>-508428083.07949227</v>
      </c>
      <c r="BB49" s="3">
        <f t="shared" si="87"/>
        <v>-486110224.85845542</v>
      </c>
      <c r="BC49" s="3">
        <f t="shared" si="88"/>
        <v>-466064848.77701706</v>
      </c>
      <c r="BD49" s="3">
        <f t="shared" si="89"/>
        <v>-448232994.84626466</v>
      </c>
      <c r="BE49" s="3">
        <f t="shared" si="90"/>
        <v>-432530231.89937723</v>
      </c>
      <c r="BF49" s="3">
        <f t="shared" si="91"/>
        <v>-418847804.71114761</v>
      </c>
      <c r="BG49" s="3">
        <f t="shared" si="92"/>
        <v>-407054036.3281588</v>
      </c>
      <c r="BH49" s="3">
        <f t="shared" si="93"/>
        <v>-396995963.33166426</v>
      </c>
      <c r="BI49" s="3">
        <f t="shared" si="94"/>
        <v>-388501180.70256603</v>
      </c>
      <c r="BJ49" s="3">
        <f t="shared" si="66"/>
        <v>-381379872.36081284</v>
      </c>
      <c r="BK49" s="3">
        <f t="shared" si="67"/>
        <v>-375427003.23093897</v>
      </c>
      <c r="BL49" s="3">
        <f t="shared" si="68"/>
        <v>-370424648.75451565</v>
      </c>
      <c r="BM49" s="3">
        <f t="shared" si="69"/>
        <v>-366144438.03946036</v>
      </c>
      <c r="BN49" s="3">
        <f t="shared" si="70"/>
        <v>-362350087.21810412</v>
      </c>
      <c r="BO49" s="3">
        <f t="shared" si="71"/>
        <v>-358800000</v>
      </c>
      <c r="BQ49" s="31"/>
      <c r="BR49" s="1">
        <v>0</v>
      </c>
      <c r="BS49" s="1">
        <f t="shared" si="35"/>
        <v>0.3415922014622258</v>
      </c>
      <c r="BT49" s="1">
        <f t="shared" si="95"/>
        <v>0.3867162803971414</v>
      </c>
      <c r="BU49" s="1">
        <f t="shared" si="95"/>
        <v>0.39358441341045353</v>
      </c>
      <c r="BV49" s="1">
        <f t="shared" si="95"/>
        <v>0.39465123071155611</v>
      </c>
      <c r="BW49" s="1">
        <f t="shared" si="95"/>
        <v>0.39481745705771337</v>
      </c>
      <c r="BX49" s="1">
        <f t="shared" si="95"/>
        <v>0.39484337025824801</v>
      </c>
      <c r="BY49" s="1">
        <f t="shared" si="95"/>
        <v>0.39484741020089792</v>
      </c>
      <c r="BZ49" s="1">
        <f t="shared" si="95"/>
        <v>0.39484804004704999</v>
      </c>
      <c r="CA49" s="1">
        <f t="shared" si="95"/>
        <v>0.39484813824322279</v>
      </c>
      <c r="CB49" s="1">
        <f t="shared" si="95"/>
        <v>0.39484815355250286</v>
      </c>
      <c r="CC49" s="1">
        <f t="shared" si="95"/>
        <v>0.39484815593929717</v>
      </c>
      <c r="CD49" s="1">
        <f t="shared" si="95"/>
        <v>0.39484815631141046</v>
      </c>
      <c r="CE49" s="1">
        <f t="shared" si="95"/>
        <v>0.39484815636942483</v>
      </c>
      <c r="CF49" s="1">
        <f t="shared" si="95"/>
        <v>0.39484815637846954</v>
      </c>
      <c r="CG49" s="1">
        <f t="shared" si="95"/>
        <v>0.39484815637987963</v>
      </c>
      <c r="CH49" s="1">
        <f t="shared" si="95"/>
        <v>0.39484815638009951</v>
      </c>
      <c r="CI49" s="1">
        <f t="shared" si="95"/>
        <v>0.39484815638013382</v>
      </c>
      <c r="CJ49" s="1">
        <f t="shared" si="95"/>
        <v>0.39484815638013915</v>
      </c>
      <c r="CK49" s="1">
        <f t="shared" si="95"/>
        <v>0.39484815638013998</v>
      </c>
      <c r="CL49" s="1">
        <f t="shared" si="95"/>
        <v>0.39484815638014015</v>
      </c>
      <c r="CM49" s="1">
        <f t="shared" si="95"/>
        <v>0.39484815638014015</v>
      </c>
      <c r="CN49" s="1">
        <f t="shared" si="95"/>
        <v>0.39484815638014015</v>
      </c>
      <c r="CO49" s="1">
        <f t="shared" si="95"/>
        <v>0.39484815638014015</v>
      </c>
      <c r="CP49" s="1">
        <f t="shared" si="95"/>
        <v>0.39484815638014015</v>
      </c>
      <c r="CQ49" s="1">
        <f t="shared" si="95"/>
        <v>0.39484815638014015</v>
      </c>
      <c r="CR49" s="1">
        <f t="shared" si="95"/>
        <v>0.39484815638014015</v>
      </c>
      <c r="CS49" s="1">
        <f t="shared" si="95"/>
        <v>0.39484815638014015</v>
      </c>
      <c r="CT49" s="1">
        <f t="shared" si="95"/>
        <v>0.39484815638014015</v>
      </c>
      <c r="CU49" s="1">
        <f t="shared" si="95"/>
        <v>0.39484815638014015</v>
      </c>
      <c r="CW49" s="31"/>
      <c r="CX49" s="16">
        <f t="shared" si="36"/>
        <v>300</v>
      </c>
      <c r="CY49">
        <f t="shared" si="37"/>
        <v>193.44454151540529</v>
      </c>
      <c r="CZ49">
        <f t="shared" si="38"/>
        <v>173.20077052461778</v>
      </c>
      <c r="DA49">
        <f t="shared" si="39"/>
        <v>163.68843106055775</v>
      </c>
      <c r="DB49">
        <f t="shared" si="40"/>
        <v>155.82167714194904</v>
      </c>
      <c r="DC49">
        <f t="shared" si="41"/>
        <v>148.32418654793494</v>
      </c>
      <c r="DD49">
        <f t="shared" si="42"/>
        <v>141.04011181826999</v>
      </c>
      <c r="DE49">
        <f t="shared" si="43"/>
        <v>133.97730375540291</v>
      </c>
      <c r="DF49">
        <f t="shared" si="44"/>
        <v>127.16555025152201</v>
      </c>
      <c r="DG49">
        <f t="shared" si="45"/>
        <v>120.63520343872973</v>
      </c>
      <c r="DH49">
        <f t="shared" si="46"/>
        <v>114.4137053884088</v>
      </c>
      <c r="DI49">
        <f t="shared" si="47"/>
        <v>108.52480945516901</v>
      </c>
      <c r="DJ49">
        <f t="shared" si="48"/>
        <v>102.98824506412041</v>
      </c>
      <c r="DK49">
        <f t="shared" si="49"/>
        <v>97.819494265442046</v>
      </c>
      <c r="DL49">
        <f t="shared" si="50"/>
        <v>93.029632217098865</v>
      </c>
      <c r="DM49">
        <f t="shared" si="51"/>
        <v>88.625225012625975</v>
      </c>
      <c r="DN49">
        <f t="shared" si="52"/>
        <v>84.608283648313673</v>
      </c>
      <c r="DO49">
        <f t="shared" si="53"/>
        <v>80.976273050937309</v>
      </c>
      <c r="DP49">
        <f t="shared" si="54"/>
        <v>77.722174507935733</v>
      </c>
      <c r="DQ49">
        <f t="shared" si="55"/>
        <v>74.834599237527385</v>
      </c>
      <c r="DR49">
        <f t="shared" si="56"/>
        <v>72.297950312292215</v>
      </c>
      <c r="DS49">
        <f t="shared" si="57"/>
        <v>70.092629723050678</v>
      </c>
      <c r="DT49">
        <f t="shared" si="58"/>
        <v>68.195287040548621</v>
      </c>
      <c r="DU49">
        <f t="shared" si="59"/>
        <v>66.579105894969501</v>
      </c>
      <c r="DV49">
        <f t="shared" si="60"/>
        <v>65.21412433858147</v>
      </c>
      <c r="DW49">
        <f t="shared" si="61"/>
        <v>64.067585073222403</v>
      </c>
      <c r="DX49">
        <f t="shared" si="62"/>
        <v>63.10431149836235</v>
      </c>
      <c r="DY49">
        <f t="shared" si="63"/>
        <v>62.287105552704574</v>
      </c>
      <c r="DZ49">
        <f t="shared" si="64"/>
        <v>61.577163368070174</v>
      </c>
      <c r="EA49" s="16">
        <f t="shared" si="96"/>
        <v>24.313619224514202</v>
      </c>
    </row>
    <row r="50" spans="5:131" x14ac:dyDescent="0.3">
      <c r="E50" s="33"/>
      <c r="F50" s="17">
        <f t="shared" si="3"/>
        <v>300</v>
      </c>
      <c r="G50" s="17">
        <f t="shared" si="3"/>
        <v>287.20458331783192</v>
      </c>
      <c r="H50" s="15">
        <f t="shared" si="8"/>
        <v>274.47945650127753</v>
      </c>
      <c r="I50" s="15">
        <f t="shared" si="9"/>
        <v>261.89403216396988</v>
      </c>
      <c r="J50" s="15">
        <f t="shared" si="10"/>
        <v>249.5159812159466</v>
      </c>
      <c r="K50" s="15">
        <f t="shared" si="11"/>
        <v>237.41039374200534</v>
      </c>
      <c r="L50" s="15">
        <f t="shared" si="12"/>
        <v>225.6389772072514</v>
      </c>
      <c r="M50" s="15">
        <f t="shared" si="13"/>
        <v>214.25930321091454</v>
      </c>
      <c r="N50" s="15">
        <f t="shared" si="14"/>
        <v>203.32411301536513</v>
      </c>
      <c r="O50" s="15">
        <f t="shared" si="15"/>
        <v>192.88069089761242</v>
      </c>
      <c r="P50" s="15">
        <f t="shared" si="16"/>
        <v>182.97031304318861</v>
      </c>
      <c r="Q50" s="15">
        <f t="shared" si="17"/>
        <v>173.62777826859929</v>
      </c>
      <c r="R50" s="15">
        <f t="shared" si="18"/>
        <v>164.88102536165584</v>
      </c>
      <c r="S50" s="15">
        <f t="shared" si="19"/>
        <v>156.75084031219731</v>
      </c>
      <c r="T50" s="17">
        <f t="shared" si="3"/>
        <v>149.25065521040034</v>
      </c>
      <c r="U50" s="15">
        <f t="shared" si="20"/>
        <v>142.38643915412516</v>
      </c>
      <c r="V50" s="15">
        <f t="shared" si="21"/>
        <v>136.15668016384512</v>
      </c>
      <c r="W50" s="15">
        <f t="shared" si="22"/>
        <v>130.55245588106158</v>
      </c>
      <c r="X50" s="15">
        <f t="shared" si="23"/>
        <v>125.55758974443731</v>
      </c>
      <c r="Y50" s="15">
        <f t="shared" si="24"/>
        <v>121.14888841078474</v>
      </c>
      <c r="Z50" s="15">
        <f t="shared" si="25"/>
        <v>117.2964554218869</v>
      </c>
      <c r="AA50" s="15">
        <f t="shared" si="26"/>
        <v>113.96407551228972</v>
      </c>
      <c r="AB50" s="15">
        <f t="shared" si="27"/>
        <v>111.10966350062378</v>
      </c>
      <c r="AC50" s="15">
        <f t="shared" si="28"/>
        <v>108.68577139501528</v>
      </c>
      <c r="AD50" s="15">
        <f t="shared" si="29"/>
        <v>106.64014715446098</v>
      </c>
      <c r="AE50" s="15">
        <f t="shared" si="30"/>
        <v>104.91633846201012</v>
      </c>
      <c r="AF50" s="15">
        <f t="shared" si="31"/>
        <v>103.45433485945048</v>
      </c>
      <c r="AG50" s="15">
        <f t="shared" si="32"/>
        <v>102.19124164338535</v>
      </c>
      <c r="AH50" s="15">
        <f t="shared" si="33"/>
        <v>101.0619790060842</v>
      </c>
      <c r="AI50" s="17">
        <f t="shared" si="65"/>
        <v>100</v>
      </c>
      <c r="AK50" s="31"/>
      <c r="AL50" s="3">
        <f t="shared" si="34"/>
        <v>-1076400000</v>
      </c>
      <c r="AM50" s="3">
        <f t="shared" si="72"/>
        <v>-1030218121.5702678</v>
      </c>
      <c r="AN50" s="3">
        <f t="shared" si="73"/>
        <v>-984291836.91536975</v>
      </c>
      <c r="AO50" s="3">
        <f t="shared" si="74"/>
        <v>-938873542.71053839</v>
      </c>
      <c r="AP50" s="3">
        <f t="shared" si="75"/>
        <v>-894209288.4069829</v>
      </c>
      <c r="AQ50" s="3">
        <f t="shared" si="76"/>
        <v>-850535719.05097508</v>
      </c>
      <c r="AR50" s="3">
        <f t="shared" si="77"/>
        <v>-808077155.03549778</v>
      </c>
      <c r="AS50" s="3">
        <f t="shared" si="78"/>
        <v>-767042849.88903511</v>
      </c>
      <c r="AT50" s="3">
        <f t="shared" si="79"/>
        <v>-727624463.51336575</v>
      </c>
      <c r="AU50" s="3">
        <f t="shared" si="80"/>
        <v>-689993783.90351927</v>
      </c>
      <c r="AV50" s="3">
        <f t="shared" si="81"/>
        <v>-654300725.46031296</v>
      </c>
      <c r="AW50" s="3">
        <f t="shared" si="82"/>
        <v>-620671626.69455945</v>
      </c>
      <c r="AX50" s="3">
        <f t="shared" si="83"/>
        <v>-589207864.58415508</v>
      </c>
      <c r="AY50" s="3">
        <f t="shared" si="84"/>
        <v>-559984797.24264038</v>
      </c>
      <c r="AZ50" s="3">
        <f t="shared" si="85"/>
        <v>-533051041.04541081</v>
      </c>
      <c r="BA50" s="3">
        <f t="shared" si="86"/>
        <v>-508428083.07949233</v>
      </c>
      <c r="BB50" s="3">
        <f t="shared" si="87"/>
        <v>-486110224.85845542</v>
      </c>
      <c r="BC50" s="3">
        <f t="shared" si="88"/>
        <v>-466064848.77701718</v>
      </c>
      <c r="BD50" s="3">
        <f t="shared" si="89"/>
        <v>-448232994.84626472</v>
      </c>
      <c r="BE50" s="3">
        <f t="shared" si="90"/>
        <v>-432530231.89937735</v>
      </c>
      <c r="BF50" s="3">
        <f t="shared" si="91"/>
        <v>-418847804.71114773</v>
      </c>
      <c r="BG50" s="3">
        <f t="shared" si="92"/>
        <v>-407054036.32815886</v>
      </c>
      <c r="BH50" s="3">
        <f t="shared" si="93"/>
        <v>-396995963.33166438</v>
      </c>
      <c r="BI50" s="3">
        <f t="shared" si="94"/>
        <v>-388501180.70256615</v>
      </c>
      <c r="BJ50" s="3">
        <f t="shared" si="66"/>
        <v>-381379872.3608129</v>
      </c>
      <c r="BK50" s="3">
        <f t="shared" si="67"/>
        <v>-375427003.23093909</v>
      </c>
      <c r="BL50" s="3">
        <f t="shared" si="68"/>
        <v>-370424648.75451565</v>
      </c>
      <c r="BM50" s="3">
        <f t="shared" si="69"/>
        <v>-366144438.03946042</v>
      </c>
      <c r="BN50" s="3">
        <f t="shared" si="70"/>
        <v>-362350087.21810418</v>
      </c>
      <c r="BO50" s="3">
        <f t="shared" si="71"/>
        <v>-358800000</v>
      </c>
      <c r="BQ50" s="31"/>
      <c r="BR50" s="1">
        <v>0</v>
      </c>
      <c r="BS50" s="1">
        <f t="shared" si="35"/>
        <v>0.3415922014622258</v>
      </c>
      <c r="BT50" s="1">
        <f t="shared" si="95"/>
        <v>0.3867162803971414</v>
      </c>
      <c r="BU50" s="1">
        <f t="shared" si="95"/>
        <v>0.39358441341045353</v>
      </c>
      <c r="BV50" s="1">
        <f t="shared" si="95"/>
        <v>0.39465123071155611</v>
      </c>
      <c r="BW50" s="1">
        <f t="shared" si="95"/>
        <v>0.39481745705771337</v>
      </c>
      <c r="BX50" s="1">
        <f t="shared" si="95"/>
        <v>0.39484337025824801</v>
      </c>
      <c r="BY50" s="1">
        <f t="shared" si="95"/>
        <v>0.39484741020089792</v>
      </c>
      <c r="BZ50" s="1">
        <f t="shared" si="95"/>
        <v>0.39484804004704999</v>
      </c>
      <c r="CA50" s="1">
        <f t="shared" si="95"/>
        <v>0.39484813824322279</v>
      </c>
      <c r="CB50" s="1">
        <f t="shared" si="95"/>
        <v>0.39484815355250286</v>
      </c>
      <c r="CC50" s="1">
        <f t="shared" si="95"/>
        <v>0.39484815593929717</v>
      </c>
      <c r="CD50" s="1">
        <f t="shared" si="95"/>
        <v>0.39484815631141046</v>
      </c>
      <c r="CE50" s="1">
        <f t="shared" si="95"/>
        <v>0.39484815636942483</v>
      </c>
      <c r="CF50" s="1">
        <f t="shared" si="95"/>
        <v>0.39484815637846954</v>
      </c>
      <c r="CG50" s="1">
        <f t="shared" si="95"/>
        <v>0.39484815637987963</v>
      </c>
      <c r="CH50" s="1">
        <f t="shared" si="95"/>
        <v>0.39484815638009951</v>
      </c>
      <c r="CI50" s="1">
        <f t="shared" si="95"/>
        <v>0.39484815638013382</v>
      </c>
      <c r="CJ50" s="1">
        <f t="shared" si="95"/>
        <v>0.39484815638013915</v>
      </c>
      <c r="CK50" s="1">
        <f t="shared" si="95"/>
        <v>0.39484815638013998</v>
      </c>
      <c r="CL50" s="1">
        <f t="shared" si="95"/>
        <v>0.39484815638014015</v>
      </c>
      <c r="CM50" s="1">
        <f t="shared" si="95"/>
        <v>0.39484815638014015</v>
      </c>
      <c r="CN50" s="1">
        <f t="shared" si="95"/>
        <v>0.39484815638014015</v>
      </c>
      <c r="CO50" s="1">
        <f t="shared" si="95"/>
        <v>0.39484815638014015</v>
      </c>
      <c r="CP50" s="1">
        <f t="shared" si="95"/>
        <v>0.39484815638014015</v>
      </c>
      <c r="CQ50" s="1">
        <f t="shared" si="95"/>
        <v>0.39484815638014015</v>
      </c>
      <c r="CR50" s="1">
        <f t="shared" si="95"/>
        <v>0.39484815638014015</v>
      </c>
      <c r="CS50" s="1">
        <f t="shared" si="95"/>
        <v>0.39484815638014015</v>
      </c>
      <c r="CT50" s="1">
        <f t="shared" si="95"/>
        <v>0.39484815638014015</v>
      </c>
      <c r="CU50" s="1">
        <f t="shared" si="95"/>
        <v>0.39484815638014015</v>
      </c>
      <c r="CW50" s="31"/>
      <c r="CX50" s="16">
        <f t="shared" si="36"/>
        <v>300</v>
      </c>
      <c r="CY50">
        <f t="shared" si="37"/>
        <v>193.44454151540529</v>
      </c>
      <c r="CZ50">
        <f t="shared" si="38"/>
        <v>173.20077052461778</v>
      </c>
      <c r="DA50">
        <f t="shared" si="39"/>
        <v>163.6884310605578</v>
      </c>
      <c r="DB50">
        <f t="shared" si="40"/>
        <v>155.82167714194907</v>
      </c>
      <c r="DC50">
        <f t="shared" si="41"/>
        <v>148.324186547935</v>
      </c>
      <c r="DD50">
        <f t="shared" si="42"/>
        <v>141.04011181827005</v>
      </c>
      <c r="DE50">
        <f t="shared" si="43"/>
        <v>133.97730375540294</v>
      </c>
      <c r="DF50">
        <f t="shared" si="44"/>
        <v>127.16555025152201</v>
      </c>
      <c r="DG50">
        <f t="shared" si="45"/>
        <v>120.63520343872973</v>
      </c>
      <c r="DH50">
        <f t="shared" si="46"/>
        <v>114.4137053884088</v>
      </c>
      <c r="DI50">
        <f t="shared" si="47"/>
        <v>108.52480945516901</v>
      </c>
      <c r="DJ50">
        <f t="shared" si="48"/>
        <v>102.98824506412042</v>
      </c>
      <c r="DK50">
        <f t="shared" si="49"/>
        <v>97.819494265442046</v>
      </c>
      <c r="DL50">
        <f t="shared" si="50"/>
        <v>93.029632217098879</v>
      </c>
      <c r="DM50">
        <f t="shared" si="51"/>
        <v>88.625225012625975</v>
      </c>
      <c r="DN50">
        <f t="shared" si="52"/>
        <v>84.608283648313673</v>
      </c>
      <c r="DO50">
        <f t="shared" si="53"/>
        <v>80.976273050937309</v>
      </c>
      <c r="DP50">
        <f t="shared" si="54"/>
        <v>77.722174507935748</v>
      </c>
      <c r="DQ50">
        <f t="shared" si="55"/>
        <v>74.834599237527414</v>
      </c>
      <c r="DR50">
        <f t="shared" si="56"/>
        <v>72.29795031229223</v>
      </c>
      <c r="DS50">
        <f t="shared" si="57"/>
        <v>70.092629723050678</v>
      </c>
      <c r="DT50">
        <f t="shared" si="58"/>
        <v>68.195287040548635</v>
      </c>
      <c r="DU50">
        <f t="shared" si="59"/>
        <v>66.579105894969516</v>
      </c>
      <c r="DV50">
        <f t="shared" si="60"/>
        <v>65.214124338581485</v>
      </c>
      <c r="DW50">
        <f t="shared" si="61"/>
        <v>64.067585073222418</v>
      </c>
      <c r="DX50">
        <f t="shared" si="62"/>
        <v>63.104311498362364</v>
      </c>
      <c r="DY50">
        <f t="shared" si="63"/>
        <v>62.287105552704581</v>
      </c>
      <c r="DZ50">
        <f t="shared" si="64"/>
        <v>61.577163368070188</v>
      </c>
      <c r="EA50" s="16">
        <f t="shared" si="96"/>
        <v>24.313619224514206</v>
      </c>
    </row>
    <row r="51" spans="5:131" x14ac:dyDescent="0.3">
      <c r="E51" s="33"/>
      <c r="F51" s="17">
        <f t="shared" si="3"/>
        <v>300</v>
      </c>
      <c r="G51" s="17">
        <f t="shared" si="3"/>
        <v>287.20458331783192</v>
      </c>
      <c r="H51" s="15">
        <f t="shared" si="8"/>
        <v>274.47945650127753</v>
      </c>
      <c r="I51" s="15">
        <f t="shared" si="9"/>
        <v>261.89403216396988</v>
      </c>
      <c r="J51" s="15">
        <f t="shared" si="10"/>
        <v>249.51598121594662</v>
      </c>
      <c r="K51" s="15">
        <f t="shared" si="11"/>
        <v>237.41039374200534</v>
      </c>
      <c r="L51" s="15">
        <f t="shared" si="12"/>
        <v>225.6389772072514</v>
      </c>
      <c r="M51" s="15">
        <f t="shared" si="13"/>
        <v>214.25930321091454</v>
      </c>
      <c r="N51" s="15">
        <f t="shared" si="14"/>
        <v>203.32411301536513</v>
      </c>
      <c r="O51" s="15">
        <f t="shared" si="15"/>
        <v>192.88069089761242</v>
      </c>
      <c r="P51" s="15">
        <f t="shared" si="16"/>
        <v>182.97031304318861</v>
      </c>
      <c r="Q51" s="15">
        <f t="shared" si="17"/>
        <v>173.62777826859929</v>
      </c>
      <c r="R51" s="15">
        <f t="shared" si="18"/>
        <v>164.88102536165584</v>
      </c>
      <c r="S51" s="15">
        <f t="shared" si="19"/>
        <v>156.75084031219731</v>
      </c>
      <c r="T51" s="17">
        <f t="shared" si="3"/>
        <v>149.25065521040034</v>
      </c>
      <c r="U51" s="15">
        <f t="shared" si="20"/>
        <v>142.38643915412516</v>
      </c>
      <c r="V51" s="15">
        <f t="shared" si="21"/>
        <v>136.15668016384512</v>
      </c>
      <c r="W51" s="15">
        <f t="shared" si="22"/>
        <v>130.55245588106158</v>
      </c>
      <c r="X51" s="15">
        <f t="shared" si="23"/>
        <v>125.55758974443731</v>
      </c>
      <c r="Y51" s="15">
        <f t="shared" si="24"/>
        <v>121.14888841078474</v>
      </c>
      <c r="Z51" s="15">
        <f t="shared" si="25"/>
        <v>117.2964554218869</v>
      </c>
      <c r="AA51" s="15">
        <f t="shared" si="26"/>
        <v>113.96407551228972</v>
      </c>
      <c r="AB51" s="15">
        <f t="shared" si="27"/>
        <v>111.10966350062378</v>
      </c>
      <c r="AC51" s="15">
        <f t="shared" si="28"/>
        <v>108.68577139501528</v>
      </c>
      <c r="AD51" s="15">
        <f t="shared" si="29"/>
        <v>106.64014715446098</v>
      </c>
      <c r="AE51" s="15">
        <f t="shared" si="30"/>
        <v>104.91633846201012</v>
      </c>
      <c r="AF51" s="15">
        <f t="shared" si="31"/>
        <v>103.45433485945048</v>
      </c>
      <c r="AG51" s="15">
        <f t="shared" si="32"/>
        <v>102.19124164338537</v>
      </c>
      <c r="AH51" s="15">
        <f t="shared" si="33"/>
        <v>101.0619790060842</v>
      </c>
      <c r="AI51" s="17">
        <f t="shared" si="65"/>
        <v>100</v>
      </c>
      <c r="AK51" s="31"/>
      <c r="AL51" s="3">
        <f t="shared" si="34"/>
        <v>-1076400000</v>
      </c>
      <c r="AM51" s="3">
        <f t="shared" si="72"/>
        <v>-1030218121.5702678</v>
      </c>
      <c r="AN51" s="3">
        <f t="shared" si="73"/>
        <v>-984291836.91536975</v>
      </c>
      <c r="AO51" s="3">
        <f t="shared" si="74"/>
        <v>-938873542.71053863</v>
      </c>
      <c r="AP51" s="3">
        <f t="shared" si="75"/>
        <v>-894209288.40698302</v>
      </c>
      <c r="AQ51" s="3">
        <f t="shared" si="76"/>
        <v>-850535719.05097508</v>
      </c>
      <c r="AR51" s="3">
        <f t="shared" si="77"/>
        <v>-808077155.0354979</v>
      </c>
      <c r="AS51" s="3">
        <f t="shared" si="78"/>
        <v>-767042849.88903522</v>
      </c>
      <c r="AT51" s="3">
        <f t="shared" si="79"/>
        <v>-727624463.51336575</v>
      </c>
      <c r="AU51" s="3">
        <f t="shared" si="80"/>
        <v>-689993783.90351927</v>
      </c>
      <c r="AV51" s="3">
        <f t="shared" si="81"/>
        <v>-654300725.46031308</v>
      </c>
      <c r="AW51" s="3">
        <f t="shared" si="82"/>
        <v>-620671626.69455945</v>
      </c>
      <c r="AX51" s="3">
        <f t="shared" si="83"/>
        <v>-589207864.58415508</v>
      </c>
      <c r="AY51" s="3">
        <f t="shared" si="84"/>
        <v>-559984797.24264038</v>
      </c>
      <c r="AZ51" s="3">
        <f t="shared" si="85"/>
        <v>-533051041.04541081</v>
      </c>
      <c r="BA51" s="3">
        <f t="shared" si="86"/>
        <v>-508428083.07949233</v>
      </c>
      <c r="BB51" s="3">
        <f t="shared" si="87"/>
        <v>-486110224.85845542</v>
      </c>
      <c r="BC51" s="3">
        <f t="shared" si="88"/>
        <v>-466064848.77701718</v>
      </c>
      <c r="BD51" s="3">
        <f t="shared" si="89"/>
        <v>-448232994.84626472</v>
      </c>
      <c r="BE51" s="3">
        <f t="shared" si="90"/>
        <v>-432530231.89937741</v>
      </c>
      <c r="BF51" s="3">
        <f t="shared" si="91"/>
        <v>-418847804.71114779</v>
      </c>
      <c r="BG51" s="3">
        <f t="shared" si="92"/>
        <v>-407054036.32815886</v>
      </c>
      <c r="BH51" s="3">
        <f t="shared" si="93"/>
        <v>-396995963.33166438</v>
      </c>
      <c r="BI51" s="3">
        <f t="shared" si="94"/>
        <v>-388501180.70256627</v>
      </c>
      <c r="BJ51" s="3">
        <f t="shared" si="66"/>
        <v>-381379872.3608129</v>
      </c>
      <c r="BK51" s="3">
        <f t="shared" si="67"/>
        <v>-375427003.23093915</v>
      </c>
      <c r="BL51" s="3">
        <f t="shared" si="68"/>
        <v>-370424648.75451565</v>
      </c>
      <c r="BM51" s="3">
        <f t="shared" si="69"/>
        <v>-366144438.03946048</v>
      </c>
      <c r="BN51" s="3">
        <f t="shared" si="70"/>
        <v>-362350087.21810418</v>
      </c>
      <c r="BO51" s="3">
        <f t="shared" si="71"/>
        <v>-358800000</v>
      </c>
      <c r="BQ51" s="31"/>
      <c r="BR51" s="1">
        <v>0</v>
      </c>
      <c r="BS51" s="1">
        <f t="shared" si="35"/>
        <v>0.3415922014622258</v>
      </c>
      <c r="BT51" s="1">
        <f t="shared" si="95"/>
        <v>0.3867162803971414</v>
      </c>
      <c r="BU51" s="1">
        <f t="shared" si="95"/>
        <v>0.39358441341045353</v>
      </c>
      <c r="BV51" s="1">
        <f t="shared" si="95"/>
        <v>0.39465123071155611</v>
      </c>
      <c r="BW51" s="1">
        <f t="shared" si="95"/>
        <v>0.39481745705771337</v>
      </c>
      <c r="BX51" s="1">
        <f t="shared" si="95"/>
        <v>0.39484337025824801</v>
      </c>
      <c r="BY51" s="1">
        <f t="shared" si="95"/>
        <v>0.39484741020089792</v>
      </c>
      <c r="BZ51" s="1">
        <f t="shared" si="95"/>
        <v>0.39484804004704999</v>
      </c>
      <c r="CA51" s="1">
        <f t="shared" si="95"/>
        <v>0.39484813824322279</v>
      </c>
      <c r="CB51" s="1">
        <f t="shared" si="95"/>
        <v>0.39484815355250286</v>
      </c>
      <c r="CC51" s="1">
        <f t="shared" si="95"/>
        <v>0.39484815593929717</v>
      </c>
      <c r="CD51" s="1">
        <f t="shared" si="95"/>
        <v>0.39484815631141046</v>
      </c>
      <c r="CE51" s="1">
        <f t="shared" si="95"/>
        <v>0.39484815636942483</v>
      </c>
      <c r="CF51" s="1">
        <f t="shared" si="95"/>
        <v>0.39484815637846954</v>
      </c>
      <c r="CG51" s="1">
        <f t="shared" si="95"/>
        <v>0.39484815637987963</v>
      </c>
      <c r="CH51" s="1">
        <f t="shared" si="95"/>
        <v>0.39484815638009951</v>
      </c>
      <c r="CI51" s="1">
        <f t="shared" si="95"/>
        <v>0.39484815638013382</v>
      </c>
      <c r="CJ51" s="1">
        <f t="shared" si="95"/>
        <v>0.39484815638013915</v>
      </c>
      <c r="CK51" s="1">
        <f t="shared" si="95"/>
        <v>0.39484815638013998</v>
      </c>
      <c r="CL51" s="1">
        <f t="shared" si="95"/>
        <v>0.39484815638014015</v>
      </c>
      <c r="CM51" s="1">
        <f t="shared" si="95"/>
        <v>0.39484815638014015</v>
      </c>
      <c r="CN51" s="1">
        <f t="shared" si="95"/>
        <v>0.39484815638014015</v>
      </c>
      <c r="CO51" s="1">
        <f t="shared" si="95"/>
        <v>0.39484815638014015</v>
      </c>
      <c r="CP51" s="1">
        <f t="shared" si="95"/>
        <v>0.39484815638014015</v>
      </c>
      <c r="CQ51" s="1">
        <f t="shared" si="95"/>
        <v>0.39484815638014015</v>
      </c>
      <c r="CR51" s="1">
        <f t="shared" si="95"/>
        <v>0.39484815638014015</v>
      </c>
      <c r="CS51" s="1">
        <f t="shared" si="95"/>
        <v>0.39484815638014015</v>
      </c>
      <c r="CT51" s="1">
        <f t="shared" si="95"/>
        <v>0.39484815638014015</v>
      </c>
      <c r="CU51" s="1">
        <f t="shared" si="95"/>
        <v>0.39484815638014015</v>
      </c>
      <c r="CW51" s="31"/>
      <c r="CX51" s="16">
        <f t="shared" si="36"/>
        <v>300</v>
      </c>
      <c r="CY51">
        <f t="shared" si="37"/>
        <v>193.44454151540529</v>
      </c>
      <c r="CZ51">
        <f t="shared" si="38"/>
        <v>173.20077052461778</v>
      </c>
      <c r="DA51">
        <f t="shared" si="39"/>
        <v>163.6884310605578</v>
      </c>
      <c r="DB51">
        <f t="shared" si="40"/>
        <v>155.8216771419491</v>
      </c>
      <c r="DC51">
        <f t="shared" si="41"/>
        <v>148.324186547935</v>
      </c>
      <c r="DD51">
        <f t="shared" si="42"/>
        <v>141.04011181827005</v>
      </c>
      <c r="DE51">
        <f t="shared" si="43"/>
        <v>133.97730375540294</v>
      </c>
      <c r="DF51">
        <f t="shared" si="44"/>
        <v>127.16555025152201</v>
      </c>
      <c r="DG51">
        <f t="shared" si="45"/>
        <v>120.63520343872973</v>
      </c>
      <c r="DH51">
        <f t="shared" si="46"/>
        <v>114.4137053884088</v>
      </c>
      <c r="DI51">
        <f t="shared" si="47"/>
        <v>108.52480945516901</v>
      </c>
      <c r="DJ51">
        <f t="shared" si="48"/>
        <v>102.98824506412042</v>
      </c>
      <c r="DK51">
        <f t="shared" si="49"/>
        <v>97.819494265442046</v>
      </c>
      <c r="DL51">
        <f t="shared" si="50"/>
        <v>93.029632217098879</v>
      </c>
      <c r="DM51">
        <f t="shared" si="51"/>
        <v>88.625225012625975</v>
      </c>
      <c r="DN51">
        <f t="shared" si="52"/>
        <v>84.608283648313673</v>
      </c>
      <c r="DO51">
        <f t="shared" si="53"/>
        <v>80.976273050937309</v>
      </c>
      <c r="DP51">
        <f t="shared" si="54"/>
        <v>77.722174507935748</v>
      </c>
      <c r="DQ51">
        <f t="shared" si="55"/>
        <v>74.834599237527414</v>
      </c>
      <c r="DR51">
        <f t="shared" si="56"/>
        <v>72.29795031229223</v>
      </c>
      <c r="DS51">
        <f t="shared" si="57"/>
        <v>70.092629723050678</v>
      </c>
      <c r="DT51">
        <f t="shared" si="58"/>
        <v>68.195287040548635</v>
      </c>
      <c r="DU51">
        <f t="shared" si="59"/>
        <v>66.579105894969516</v>
      </c>
      <c r="DV51">
        <f t="shared" si="60"/>
        <v>65.214124338581485</v>
      </c>
      <c r="DW51">
        <f t="shared" si="61"/>
        <v>64.067585073222432</v>
      </c>
      <c r="DX51">
        <f t="shared" si="62"/>
        <v>63.104311498362371</v>
      </c>
      <c r="DY51">
        <f t="shared" si="63"/>
        <v>62.287105552704595</v>
      </c>
      <c r="DZ51">
        <f t="shared" si="64"/>
        <v>61.577163368070188</v>
      </c>
      <c r="EA51" s="16">
        <f t="shared" si="96"/>
        <v>24.313619224514206</v>
      </c>
    </row>
    <row r="52" spans="5:131" x14ac:dyDescent="0.3">
      <c r="E52" s="33"/>
      <c r="F52" s="17">
        <f t="shared" ref="F52:G65" si="97">BR52*G52+CX52</f>
        <v>300</v>
      </c>
      <c r="G52" s="17">
        <f t="shared" si="97"/>
        <v>287.20458331783192</v>
      </c>
      <c r="H52" s="15">
        <f t="shared" si="8"/>
        <v>274.47945650127753</v>
      </c>
      <c r="I52" s="15">
        <f t="shared" si="9"/>
        <v>261.89403216396988</v>
      </c>
      <c r="J52" s="15">
        <f t="shared" si="10"/>
        <v>249.5159812159466</v>
      </c>
      <c r="K52" s="15">
        <f t="shared" si="11"/>
        <v>237.41039374200534</v>
      </c>
      <c r="L52" s="15">
        <f t="shared" si="12"/>
        <v>225.6389772072514</v>
      </c>
      <c r="M52" s="15">
        <f t="shared" si="13"/>
        <v>214.25930321091454</v>
      </c>
      <c r="N52" s="15">
        <f t="shared" si="14"/>
        <v>203.32411301536513</v>
      </c>
      <c r="O52" s="15">
        <f t="shared" si="15"/>
        <v>192.88069089761242</v>
      </c>
      <c r="P52" s="15">
        <f t="shared" si="16"/>
        <v>182.97031304318861</v>
      </c>
      <c r="Q52" s="15">
        <f t="shared" si="17"/>
        <v>173.62777826859929</v>
      </c>
      <c r="R52" s="15">
        <f t="shared" si="18"/>
        <v>164.88102536165584</v>
      </c>
      <c r="S52" s="15">
        <f t="shared" si="19"/>
        <v>156.75084031219731</v>
      </c>
      <c r="T52" s="17">
        <f t="shared" si="19"/>
        <v>149.25065521040034</v>
      </c>
      <c r="U52" s="15">
        <f t="shared" si="20"/>
        <v>142.38643915412516</v>
      </c>
      <c r="V52" s="15">
        <f t="shared" si="21"/>
        <v>136.15668016384512</v>
      </c>
      <c r="W52" s="15">
        <f t="shared" si="22"/>
        <v>130.55245588106158</v>
      </c>
      <c r="X52" s="15">
        <f t="shared" si="23"/>
        <v>125.55758974443731</v>
      </c>
      <c r="Y52" s="15">
        <f t="shared" si="24"/>
        <v>121.14888841078474</v>
      </c>
      <c r="Z52" s="15">
        <f t="shared" si="25"/>
        <v>117.2964554218869</v>
      </c>
      <c r="AA52" s="15">
        <f t="shared" si="26"/>
        <v>113.96407551228972</v>
      </c>
      <c r="AB52" s="15">
        <f t="shared" si="27"/>
        <v>111.10966350062378</v>
      </c>
      <c r="AC52" s="15">
        <f t="shared" si="28"/>
        <v>108.68577139501528</v>
      </c>
      <c r="AD52" s="15">
        <f t="shared" si="29"/>
        <v>106.64014715446098</v>
      </c>
      <c r="AE52" s="15">
        <f t="shared" si="30"/>
        <v>104.91633846201012</v>
      </c>
      <c r="AF52" s="15">
        <f t="shared" si="31"/>
        <v>103.45433485945048</v>
      </c>
      <c r="AG52" s="15">
        <f t="shared" si="32"/>
        <v>102.19124164338537</v>
      </c>
      <c r="AH52" s="15">
        <f t="shared" si="33"/>
        <v>101.0619790060842</v>
      </c>
      <c r="AI52" s="17">
        <f t="shared" si="65"/>
        <v>100</v>
      </c>
      <c r="AK52" s="31"/>
      <c r="AL52" s="3">
        <f t="shared" si="34"/>
        <v>-1076400000</v>
      </c>
      <c r="AM52" s="3">
        <f t="shared" si="72"/>
        <v>-1030218121.5702678</v>
      </c>
      <c r="AN52" s="3">
        <f t="shared" si="73"/>
        <v>-984291836.91536975</v>
      </c>
      <c r="AO52" s="3">
        <f t="shared" si="74"/>
        <v>-938873542.71053839</v>
      </c>
      <c r="AP52" s="3">
        <f t="shared" si="75"/>
        <v>-894209288.40698278</v>
      </c>
      <c r="AQ52" s="3">
        <f t="shared" si="76"/>
        <v>-850535719.05097497</v>
      </c>
      <c r="AR52" s="3">
        <f t="shared" si="77"/>
        <v>-808077155.03549778</v>
      </c>
      <c r="AS52" s="3">
        <f t="shared" si="78"/>
        <v>-767042849.88903522</v>
      </c>
      <c r="AT52" s="3">
        <f t="shared" si="79"/>
        <v>-727624463.51336575</v>
      </c>
      <c r="AU52" s="3">
        <f t="shared" si="80"/>
        <v>-689993783.90351927</v>
      </c>
      <c r="AV52" s="3">
        <f t="shared" si="81"/>
        <v>-654300725.46031308</v>
      </c>
      <c r="AW52" s="3">
        <f t="shared" si="82"/>
        <v>-620671626.69455945</v>
      </c>
      <c r="AX52" s="3">
        <f t="shared" si="83"/>
        <v>-589207864.58415508</v>
      </c>
      <c r="AY52" s="3">
        <f t="shared" si="84"/>
        <v>-559984797.24264038</v>
      </c>
      <c r="AZ52" s="3">
        <f t="shared" si="85"/>
        <v>-533051041.04541081</v>
      </c>
      <c r="BA52" s="3">
        <f t="shared" si="86"/>
        <v>-508428083.07949233</v>
      </c>
      <c r="BB52" s="3">
        <f t="shared" si="87"/>
        <v>-486110224.85845542</v>
      </c>
      <c r="BC52" s="3">
        <f t="shared" si="88"/>
        <v>-466064848.77701718</v>
      </c>
      <c r="BD52" s="3">
        <f t="shared" si="89"/>
        <v>-448232994.84626472</v>
      </c>
      <c r="BE52" s="3">
        <f t="shared" si="90"/>
        <v>-432530231.89937735</v>
      </c>
      <c r="BF52" s="3">
        <f t="shared" si="91"/>
        <v>-418847804.71114779</v>
      </c>
      <c r="BG52" s="3">
        <f t="shared" si="92"/>
        <v>-407054036.32815886</v>
      </c>
      <c r="BH52" s="3">
        <f t="shared" si="93"/>
        <v>-396995963.33166432</v>
      </c>
      <c r="BI52" s="3">
        <f t="shared" si="94"/>
        <v>-388501180.70256627</v>
      </c>
      <c r="BJ52" s="3">
        <f t="shared" si="66"/>
        <v>-381379872.3608129</v>
      </c>
      <c r="BK52" s="3">
        <f t="shared" si="67"/>
        <v>-375427003.23093915</v>
      </c>
      <c r="BL52" s="3">
        <f t="shared" si="68"/>
        <v>-370424648.75451565</v>
      </c>
      <c r="BM52" s="3">
        <f t="shared" si="69"/>
        <v>-366144438.03946048</v>
      </c>
      <c r="BN52" s="3">
        <f t="shared" si="70"/>
        <v>-362350087.21810418</v>
      </c>
      <c r="BO52" s="3">
        <f t="shared" si="71"/>
        <v>-358800000</v>
      </c>
      <c r="BQ52" s="31"/>
      <c r="BR52" s="1">
        <v>0</v>
      </c>
      <c r="BS52" s="1">
        <f t="shared" si="35"/>
        <v>0.3415922014622258</v>
      </c>
      <c r="BT52" s="1">
        <f t="shared" si="95"/>
        <v>0.3867162803971414</v>
      </c>
      <c r="BU52" s="1">
        <f t="shared" si="95"/>
        <v>0.39358441341045353</v>
      </c>
      <c r="BV52" s="1">
        <f t="shared" si="95"/>
        <v>0.39465123071155611</v>
      </c>
      <c r="BW52" s="1">
        <f t="shared" si="95"/>
        <v>0.39481745705771337</v>
      </c>
      <c r="BX52" s="1">
        <f t="shared" si="95"/>
        <v>0.39484337025824801</v>
      </c>
      <c r="BY52" s="1">
        <f t="shared" si="95"/>
        <v>0.39484741020089792</v>
      </c>
      <c r="BZ52" s="1">
        <f t="shared" si="95"/>
        <v>0.39484804004704999</v>
      </c>
      <c r="CA52" s="1">
        <f t="shared" si="95"/>
        <v>0.39484813824322279</v>
      </c>
      <c r="CB52" s="1">
        <f t="shared" si="95"/>
        <v>0.39484815355250286</v>
      </c>
      <c r="CC52" s="1">
        <f t="shared" si="95"/>
        <v>0.39484815593929717</v>
      </c>
      <c r="CD52" s="1">
        <f t="shared" si="95"/>
        <v>0.39484815631141046</v>
      </c>
      <c r="CE52" s="1">
        <f t="shared" si="95"/>
        <v>0.39484815636942483</v>
      </c>
      <c r="CF52" s="1">
        <f t="shared" si="95"/>
        <v>0.39484815637846954</v>
      </c>
      <c r="CG52" s="1">
        <f t="shared" si="95"/>
        <v>0.39484815637987963</v>
      </c>
      <c r="CH52" s="1">
        <f t="shared" si="95"/>
        <v>0.39484815638009951</v>
      </c>
      <c r="CI52" s="1">
        <f t="shared" si="95"/>
        <v>0.39484815638013382</v>
      </c>
      <c r="CJ52" s="1">
        <f t="shared" si="95"/>
        <v>0.39484815638013915</v>
      </c>
      <c r="CK52" s="1">
        <f t="shared" si="95"/>
        <v>0.39484815638013998</v>
      </c>
      <c r="CL52" s="1">
        <f t="shared" si="95"/>
        <v>0.39484815638014015</v>
      </c>
      <c r="CM52" s="1">
        <f t="shared" si="95"/>
        <v>0.39484815638014015</v>
      </c>
      <c r="CN52" s="1">
        <f t="shared" si="95"/>
        <v>0.39484815638014015</v>
      </c>
      <c r="CO52" s="1">
        <f t="shared" si="95"/>
        <v>0.39484815638014015</v>
      </c>
      <c r="CP52" s="1">
        <f t="shared" si="95"/>
        <v>0.39484815638014015</v>
      </c>
      <c r="CQ52" s="1">
        <f t="shared" si="95"/>
        <v>0.39484815638014015</v>
      </c>
      <c r="CR52" s="1">
        <f t="shared" si="95"/>
        <v>0.39484815638014015</v>
      </c>
      <c r="CS52" s="1">
        <f t="shared" si="95"/>
        <v>0.39484815638014015</v>
      </c>
      <c r="CT52" s="1">
        <f t="shared" si="95"/>
        <v>0.39484815638014015</v>
      </c>
      <c r="CU52" s="1">
        <f t="shared" si="95"/>
        <v>0.39484815638014015</v>
      </c>
      <c r="CW52" s="31"/>
      <c r="CX52" s="16">
        <f t="shared" si="36"/>
        <v>300</v>
      </c>
      <c r="CY52">
        <f t="shared" si="37"/>
        <v>193.44454151540529</v>
      </c>
      <c r="CZ52">
        <f t="shared" si="38"/>
        <v>173.20077052461778</v>
      </c>
      <c r="DA52">
        <f t="shared" si="39"/>
        <v>163.6884310605578</v>
      </c>
      <c r="DB52">
        <f t="shared" si="40"/>
        <v>155.82167714194907</v>
      </c>
      <c r="DC52">
        <f t="shared" si="41"/>
        <v>148.324186547935</v>
      </c>
      <c r="DD52">
        <f t="shared" si="42"/>
        <v>141.04011181827005</v>
      </c>
      <c r="DE52">
        <f t="shared" si="43"/>
        <v>133.97730375540294</v>
      </c>
      <c r="DF52">
        <f t="shared" si="44"/>
        <v>127.16555025152201</v>
      </c>
      <c r="DG52">
        <f t="shared" si="45"/>
        <v>120.63520343872973</v>
      </c>
      <c r="DH52">
        <f t="shared" si="46"/>
        <v>114.4137053884088</v>
      </c>
      <c r="DI52">
        <f t="shared" si="47"/>
        <v>108.52480945516901</v>
      </c>
      <c r="DJ52">
        <f t="shared" si="48"/>
        <v>102.98824506412042</v>
      </c>
      <c r="DK52">
        <f t="shared" si="49"/>
        <v>97.819494265442046</v>
      </c>
      <c r="DL52">
        <f t="shared" si="50"/>
        <v>93.029632217098879</v>
      </c>
      <c r="DM52">
        <f t="shared" si="51"/>
        <v>88.625225012625975</v>
      </c>
      <c r="DN52">
        <f t="shared" si="52"/>
        <v>84.608283648313673</v>
      </c>
      <c r="DO52">
        <f t="shared" si="53"/>
        <v>80.976273050937309</v>
      </c>
      <c r="DP52">
        <f t="shared" si="54"/>
        <v>77.722174507935748</v>
      </c>
      <c r="DQ52">
        <f t="shared" si="55"/>
        <v>74.834599237527414</v>
      </c>
      <c r="DR52">
        <f t="shared" si="56"/>
        <v>72.29795031229223</v>
      </c>
      <c r="DS52">
        <f t="shared" si="57"/>
        <v>70.092629723050678</v>
      </c>
      <c r="DT52">
        <f t="shared" si="58"/>
        <v>68.195287040548635</v>
      </c>
      <c r="DU52">
        <f t="shared" si="59"/>
        <v>66.579105894969516</v>
      </c>
      <c r="DV52">
        <f t="shared" si="60"/>
        <v>65.214124338581485</v>
      </c>
      <c r="DW52">
        <f t="shared" si="61"/>
        <v>64.067585073222432</v>
      </c>
      <c r="DX52">
        <f t="shared" si="62"/>
        <v>63.104311498362371</v>
      </c>
      <c r="DY52">
        <f t="shared" si="63"/>
        <v>62.287105552704595</v>
      </c>
      <c r="DZ52">
        <f t="shared" si="64"/>
        <v>61.577163368070188</v>
      </c>
      <c r="EA52" s="16">
        <f t="shared" si="96"/>
        <v>24.313619224514206</v>
      </c>
    </row>
    <row r="53" spans="5:131" x14ac:dyDescent="0.3">
      <c r="E53" s="33"/>
      <c r="F53" s="17">
        <f t="shared" si="97"/>
        <v>300</v>
      </c>
      <c r="G53" s="17">
        <f t="shared" si="97"/>
        <v>287.20458331783192</v>
      </c>
      <c r="H53" s="15">
        <f t="shared" si="8"/>
        <v>274.47945650127747</v>
      </c>
      <c r="I53" s="15">
        <f t="shared" si="9"/>
        <v>261.89403216396983</v>
      </c>
      <c r="J53" s="15">
        <f t="shared" si="10"/>
        <v>249.51598121594654</v>
      </c>
      <c r="K53" s="15">
        <f t="shared" si="11"/>
        <v>237.41039374200528</v>
      </c>
      <c r="L53" s="15">
        <f t="shared" si="12"/>
        <v>225.63897720725134</v>
      </c>
      <c r="M53" s="15">
        <f t="shared" si="13"/>
        <v>214.25930321091454</v>
      </c>
      <c r="N53" s="15">
        <f t="shared" si="14"/>
        <v>203.32411301536513</v>
      </c>
      <c r="O53" s="15">
        <f t="shared" si="15"/>
        <v>192.88069089761242</v>
      </c>
      <c r="P53" s="15">
        <f t="shared" si="16"/>
        <v>182.97031304318861</v>
      </c>
      <c r="Q53" s="15">
        <f t="shared" si="17"/>
        <v>173.62777826859929</v>
      </c>
      <c r="R53" s="15">
        <f t="shared" si="18"/>
        <v>164.88102536165582</v>
      </c>
      <c r="S53" s="15">
        <f t="shared" si="19"/>
        <v>156.75084031219728</v>
      </c>
      <c r="T53" s="17">
        <f t="shared" si="19"/>
        <v>149.25065521040031</v>
      </c>
      <c r="U53" s="15">
        <f t="shared" si="20"/>
        <v>142.38643915412516</v>
      </c>
      <c r="V53" s="15">
        <f t="shared" si="21"/>
        <v>136.15668016384512</v>
      </c>
      <c r="W53" s="15">
        <f t="shared" si="22"/>
        <v>130.55245588106158</v>
      </c>
      <c r="X53" s="15">
        <f t="shared" si="23"/>
        <v>125.55758974443731</v>
      </c>
      <c r="Y53" s="15">
        <f t="shared" si="24"/>
        <v>121.14888841078474</v>
      </c>
      <c r="Z53" s="15">
        <f t="shared" si="25"/>
        <v>117.2964554218869</v>
      </c>
      <c r="AA53" s="15">
        <f t="shared" si="26"/>
        <v>113.96407551228972</v>
      </c>
      <c r="AB53" s="15">
        <f t="shared" si="27"/>
        <v>111.10966350062378</v>
      </c>
      <c r="AC53" s="15">
        <f t="shared" si="28"/>
        <v>108.68577139501528</v>
      </c>
      <c r="AD53" s="15">
        <f t="shared" si="29"/>
        <v>106.64014715446098</v>
      </c>
      <c r="AE53" s="15">
        <f t="shared" si="30"/>
        <v>104.91633846201012</v>
      </c>
      <c r="AF53" s="15">
        <f t="shared" si="31"/>
        <v>103.45433485945048</v>
      </c>
      <c r="AG53" s="15">
        <f t="shared" si="32"/>
        <v>102.19124164338535</v>
      </c>
      <c r="AH53" s="15">
        <f t="shared" si="33"/>
        <v>101.0619790060842</v>
      </c>
      <c r="AI53" s="17">
        <f t="shared" si="65"/>
        <v>100</v>
      </c>
      <c r="AK53" s="31"/>
      <c r="AL53" s="3">
        <f t="shared" si="34"/>
        <v>-1076400000</v>
      </c>
      <c r="AM53" s="3">
        <f t="shared" si="72"/>
        <v>-1030218121.5702678</v>
      </c>
      <c r="AN53" s="3">
        <f t="shared" si="73"/>
        <v>-984291836.91536951</v>
      </c>
      <c r="AO53" s="3">
        <f t="shared" si="74"/>
        <v>-938873542.71053815</v>
      </c>
      <c r="AP53" s="3">
        <f t="shared" si="75"/>
        <v>-894209288.40698278</v>
      </c>
      <c r="AQ53" s="3">
        <f t="shared" si="76"/>
        <v>-850535719.05097485</v>
      </c>
      <c r="AR53" s="3">
        <f t="shared" si="77"/>
        <v>-808077155.03549767</v>
      </c>
      <c r="AS53" s="3">
        <f t="shared" si="78"/>
        <v>-767042849.88903522</v>
      </c>
      <c r="AT53" s="3">
        <f t="shared" si="79"/>
        <v>-727624463.51336575</v>
      </c>
      <c r="AU53" s="3">
        <f t="shared" si="80"/>
        <v>-689993783.90351927</v>
      </c>
      <c r="AV53" s="3">
        <f t="shared" si="81"/>
        <v>-654300725.46031296</v>
      </c>
      <c r="AW53" s="3">
        <f t="shared" si="82"/>
        <v>-620671626.69455945</v>
      </c>
      <c r="AX53" s="3">
        <f t="shared" si="83"/>
        <v>-589207864.58415508</v>
      </c>
      <c r="AY53" s="3">
        <f t="shared" si="84"/>
        <v>-559984797.24264038</v>
      </c>
      <c r="AZ53" s="3">
        <f t="shared" si="85"/>
        <v>-533051041.04541069</v>
      </c>
      <c r="BA53" s="3">
        <f t="shared" si="86"/>
        <v>-508428083.07949233</v>
      </c>
      <c r="BB53" s="3">
        <f t="shared" si="87"/>
        <v>-486110224.85845536</v>
      </c>
      <c r="BC53" s="3">
        <f t="shared" si="88"/>
        <v>-466064848.77701706</v>
      </c>
      <c r="BD53" s="3">
        <f t="shared" si="89"/>
        <v>-448232994.84626472</v>
      </c>
      <c r="BE53" s="3">
        <f t="shared" si="90"/>
        <v>-432530231.89937735</v>
      </c>
      <c r="BF53" s="3">
        <f t="shared" si="91"/>
        <v>-418847804.71114779</v>
      </c>
      <c r="BG53" s="3">
        <f t="shared" si="92"/>
        <v>-407054036.32815886</v>
      </c>
      <c r="BH53" s="3">
        <f t="shared" si="93"/>
        <v>-396995963.33166426</v>
      </c>
      <c r="BI53" s="3">
        <f t="shared" si="94"/>
        <v>-388501180.70256621</v>
      </c>
      <c r="BJ53" s="3">
        <f t="shared" si="66"/>
        <v>-381379872.36081284</v>
      </c>
      <c r="BK53" s="3">
        <f t="shared" si="67"/>
        <v>-375427003.23093915</v>
      </c>
      <c r="BL53" s="3">
        <f t="shared" si="68"/>
        <v>-370424648.75451565</v>
      </c>
      <c r="BM53" s="3">
        <f t="shared" si="69"/>
        <v>-366144438.03946042</v>
      </c>
      <c r="BN53" s="3">
        <f t="shared" si="70"/>
        <v>-362350087.21810418</v>
      </c>
      <c r="BO53" s="3">
        <f t="shared" si="71"/>
        <v>-358800000</v>
      </c>
      <c r="BQ53" s="31"/>
      <c r="BR53" s="1">
        <v>0</v>
      </c>
      <c r="BS53" s="1">
        <f t="shared" si="35"/>
        <v>0.3415922014622258</v>
      </c>
      <c r="BT53" s="1">
        <f t="shared" si="95"/>
        <v>0.3867162803971414</v>
      </c>
      <c r="BU53" s="1">
        <f t="shared" si="95"/>
        <v>0.39358441341045353</v>
      </c>
      <c r="BV53" s="1">
        <f t="shared" si="95"/>
        <v>0.39465123071155611</v>
      </c>
      <c r="BW53" s="1">
        <f t="shared" si="95"/>
        <v>0.39481745705771337</v>
      </c>
      <c r="BX53" s="1">
        <f t="shared" si="95"/>
        <v>0.39484337025824801</v>
      </c>
      <c r="BY53" s="1">
        <f t="shared" si="95"/>
        <v>0.39484741020089792</v>
      </c>
      <c r="BZ53" s="1">
        <f t="shared" si="95"/>
        <v>0.39484804004704999</v>
      </c>
      <c r="CA53" s="1">
        <f t="shared" si="95"/>
        <v>0.39484813824322279</v>
      </c>
      <c r="CB53" s="1">
        <f t="shared" si="95"/>
        <v>0.39484815355250286</v>
      </c>
      <c r="CC53" s="1">
        <f t="shared" si="95"/>
        <v>0.39484815593929717</v>
      </c>
      <c r="CD53" s="1">
        <f t="shared" si="95"/>
        <v>0.39484815631141046</v>
      </c>
      <c r="CE53" s="1">
        <f t="shared" si="95"/>
        <v>0.39484815636942483</v>
      </c>
      <c r="CF53" s="1">
        <f t="shared" si="95"/>
        <v>0.39484815637846954</v>
      </c>
      <c r="CG53" s="1">
        <f t="shared" si="95"/>
        <v>0.39484815637987963</v>
      </c>
      <c r="CH53" s="1">
        <f t="shared" si="95"/>
        <v>0.39484815638009951</v>
      </c>
      <c r="CI53" s="1">
        <f t="shared" si="95"/>
        <v>0.39484815638013382</v>
      </c>
      <c r="CJ53" s="1">
        <f t="shared" si="95"/>
        <v>0.39484815638013915</v>
      </c>
      <c r="CK53" s="1">
        <f t="shared" si="95"/>
        <v>0.39484815638013998</v>
      </c>
      <c r="CL53" s="1">
        <f t="shared" si="95"/>
        <v>0.39484815638014015</v>
      </c>
      <c r="CM53" s="1">
        <f t="shared" si="95"/>
        <v>0.39484815638014015</v>
      </c>
      <c r="CN53" s="1">
        <f t="shared" si="95"/>
        <v>0.39484815638014015</v>
      </c>
      <c r="CO53" s="1">
        <f t="shared" si="95"/>
        <v>0.39484815638014015</v>
      </c>
      <c r="CP53" s="1">
        <f t="shared" si="95"/>
        <v>0.39484815638014015</v>
      </c>
      <c r="CQ53" s="1">
        <f t="shared" si="95"/>
        <v>0.39484815638014015</v>
      </c>
      <c r="CR53" s="1">
        <f t="shared" si="95"/>
        <v>0.39484815638014015</v>
      </c>
      <c r="CS53" s="1">
        <f t="shared" si="95"/>
        <v>0.39484815638014015</v>
      </c>
      <c r="CT53" s="1">
        <f t="shared" si="95"/>
        <v>0.39484815638014015</v>
      </c>
      <c r="CU53" s="1">
        <f t="shared" si="95"/>
        <v>0.39484815638014015</v>
      </c>
      <c r="CW53" s="31"/>
      <c r="CX53" s="16">
        <f t="shared" si="36"/>
        <v>300</v>
      </c>
      <c r="CY53">
        <f t="shared" si="37"/>
        <v>193.44454151540529</v>
      </c>
      <c r="CZ53">
        <f t="shared" si="38"/>
        <v>173.20077052461775</v>
      </c>
      <c r="DA53">
        <f t="shared" si="39"/>
        <v>163.68843106055775</v>
      </c>
      <c r="DB53">
        <f t="shared" si="40"/>
        <v>155.82167714194904</v>
      </c>
      <c r="DC53">
        <f t="shared" si="41"/>
        <v>148.32418654793494</v>
      </c>
      <c r="DD53">
        <f t="shared" si="42"/>
        <v>141.04011181826999</v>
      </c>
      <c r="DE53">
        <f t="shared" si="43"/>
        <v>133.97730375540294</v>
      </c>
      <c r="DF53">
        <f t="shared" si="44"/>
        <v>127.16555025152201</v>
      </c>
      <c r="DG53">
        <f t="shared" si="45"/>
        <v>120.63520343872973</v>
      </c>
      <c r="DH53">
        <f t="shared" si="46"/>
        <v>114.4137053884088</v>
      </c>
      <c r="DI53">
        <f t="shared" si="47"/>
        <v>108.52480945516901</v>
      </c>
      <c r="DJ53">
        <f t="shared" si="48"/>
        <v>102.98824506412042</v>
      </c>
      <c r="DK53">
        <f t="shared" si="49"/>
        <v>97.819494265442046</v>
      </c>
      <c r="DL53">
        <f t="shared" si="50"/>
        <v>93.029632217098865</v>
      </c>
      <c r="DM53">
        <f t="shared" si="51"/>
        <v>88.625225012625975</v>
      </c>
      <c r="DN53">
        <f t="shared" si="52"/>
        <v>84.608283648313673</v>
      </c>
      <c r="DO53">
        <f t="shared" si="53"/>
        <v>80.976273050937309</v>
      </c>
      <c r="DP53">
        <f t="shared" si="54"/>
        <v>77.722174507935748</v>
      </c>
      <c r="DQ53">
        <f t="shared" si="55"/>
        <v>74.834599237527414</v>
      </c>
      <c r="DR53">
        <f t="shared" si="56"/>
        <v>72.29795031229223</v>
      </c>
      <c r="DS53">
        <f t="shared" si="57"/>
        <v>70.092629723050678</v>
      </c>
      <c r="DT53">
        <f t="shared" si="58"/>
        <v>68.195287040548621</v>
      </c>
      <c r="DU53">
        <f t="shared" si="59"/>
        <v>66.579105894969516</v>
      </c>
      <c r="DV53">
        <f t="shared" si="60"/>
        <v>65.214124338581485</v>
      </c>
      <c r="DW53">
        <f t="shared" si="61"/>
        <v>64.067585073222432</v>
      </c>
      <c r="DX53">
        <f t="shared" si="62"/>
        <v>63.104311498362371</v>
      </c>
      <c r="DY53">
        <f t="shared" si="63"/>
        <v>62.287105552704581</v>
      </c>
      <c r="DZ53">
        <f t="shared" si="64"/>
        <v>61.577163368070188</v>
      </c>
      <c r="EA53" s="16">
        <f t="shared" si="96"/>
        <v>24.313619224514206</v>
      </c>
    </row>
    <row r="54" spans="5:131" x14ac:dyDescent="0.3">
      <c r="E54" s="33"/>
      <c r="F54" s="17">
        <f t="shared" si="97"/>
        <v>300</v>
      </c>
      <c r="G54" s="17">
        <f t="shared" si="97"/>
        <v>287.20458331783192</v>
      </c>
      <c r="H54" s="15">
        <f t="shared" si="8"/>
        <v>274.47945650127747</v>
      </c>
      <c r="I54" s="15">
        <f t="shared" si="9"/>
        <v>261.89403216396983</v>
      </c>
      <c r="J54" s="15">
        <f t="shared" si="10"/>
        <v>249.51598121594654</v>
      </c>
      <c r="K54" s="15">
        <f t="shared" si="11"/>
        <v>237.41039374200528</v>
      </c>
      <c r="L54" s="15">
        <f t="shared" si="12"/>
        <v>225.63897720725134</v>
      </c>
      <c r="M54" s="15">
        <f t="shared" si="13"/>
        <v>214.25930321091454</v>
      </c>
      <c r="N54" s="15">
        <f t="shared" si="14"/>
        <v>203.32411301536513</v>
      </c>
      <c r="O54" s="15">
        <f t="shared" si="15"/>
        <v>192.88069089761242</v>
      </c>
      <c r="P54" s="15">
        <f t="shared" si="16"/>
        <v>182.97031304318861</v>
      </c>
      <c r="Q54" s="15">
        <f t="shared" si="17"/>
        <v>173.62777826859929</v>
      </c>
      <c r="R54" s="15">
        <f t="shared" si="18"/>
        <v>164.88102536165582</v>
      </c>
      <c r="S54" s="15">
        <f t="shared" si="19"/>
        <v>156.75084031219728</v>
      </c>
      <c r="T54" s="17">
        <f t="shared" si="19"/>
        <v>149.25065521040031</v>
      </c>
      <c r="U54" s="15">
        <f t="shared" si="20"/>
        <v>142.38643915412516</v>
      </c>
      <c r="V54" s="15">
        <f t="shared" si="21"/>
        <v>136.15668016384512</v>
      </c>
      <c r="W54" s="15">
        <f t="shared" si="22"/>
        <v>130.55245588106158</v>
      </c>
      <c r="X54" s="15">
        <f t="shared" si="23"/>
        <v>125.55758974443731</v>
      </c>
      <c r="Y54" s="15">
        <f t="shared" si="24"/>
        <v>121.14888841078474</v>
      </c>
      <c r="Z54" s="15">
        <f t="shared" si="25"/>
        <v>117.2964554218869</v>
      </c>
      <c r="AA54" s="15">
        <f t="shared" si="26"/>
        <v>113.96407551228972</v>
      </c>
      <c r="AB54" s="15">
        <f t="shared" si="27"/>
        <v>111.10966350062378</v>
      </c>
      <c r="AC54" s="15">
        <f t="shared" si="28"/>
        <v>108.68577139501528</v>
      </c>
      <c r="AD54" s="15">
        <f t="shared" si="29"/>
        <v>106.64014715446098</v>
      </c>
      <c r="AE54" s="15">
        <f t="shared" si="30"/>
        <v>104.91633846201012</v>
      </c>
      <c r="AF54" s="15">
        <f t="shared" si="31"/>
        <v>103.45433485945048</v>
      </c>
      <c r="AG54" s="15">
        <f t="shared" si="32"/>
        <v>102.19124164338535</v>
      </c>
      <c r="AH54" s="15">
        <f t="shared" si="33"/>
        <v>101.0619790060842</v>
      </c>
      <c r="AI54" s="17">
        <f t="shared" si="65"/>
        <v>100</v>
      </c>
      <c r="AK54" s="31"/>
      <c r="AL54" s="3">
        <f t="shared" si="34"/>
        <v>-1076400000</v>
      </c>
      <c r="AM54" s="3">
        <f t="shared" si="72"/>
        <v>-1030218121.5702678</v>
      </c>
      <c r="AN54" s="3">
        <f t="shared" si="73"/>
        <v>-984291836.91536975</v>
      </c>
      <c r="AO54" s="3">
        <f t="shared" si="74"/>
        <v>-938873542.71053815</v>
      </c>
      <c r="AP54" s="3">
        <f t="shared" si="75"/>
        <v>-894209288.40698278</v>
      </c>
      <c r="AQ54" s="3">
        <f t="shared" si="76"/>
        <v>-850535719.05097485</v>
      </c>
      <c r="AR54" s="3">
        <f t="shared" si="77"/>
        <v>-808077155.03549767</v>
      </c>
      <c r="AS54" s="3">
        <f t="shared" si="78"/>
        <v>-767042849.88903522</v>
      </c>
      <c r="AT54" s="3">
        <f t="shared" si="79"/>
        <v>-727624463.51336575</v>
      </c>
      <c r="AU54" s="3">
        <f t="shared" si="80"/>
        <v>-689993783.90351927</v>
      </c>
      <c r="AV54" s="3">
        <f t="shared" si="81"/>
        <v>-654300725.46031296</v>
      </c>
      <c r="AW54" s="3">
        <f t="shared" si="82"/>
        <v>-620671626.69455945</v>
      </c>
      <c r="AX54" s="3">
        <f t="shared" si="83"/>
        <v>-589207864.58415508</v>
      </c>
      <c r="AY54" s="3">
        <f t="shared" si="84"/>
        <v>-559984797.24264038</v>
      </c>
      <c r="AZ54" s="3">
        <f t="shared" si="85"/>
        <v>-533051041.04541069</v>
      </c>
      <c r="BA54" s="3">
        <f t="shared" si="86"/>
        <v>-508428083.07949233</v>
      </c>
      <c r="BB54" s="3">
        <f t="shared" si="87"/>
        <v>-486110224.85845536</v>
      </c>
      <c r="BC54" s="3">
        <f t="shared" si="88"/>
        <v>-466064848.77701706</v>
      </c>
      <c r="BD54" s="3">
        <f t="shared" si="89"/>
        <v>-448232994.84626472</v>
      </c>
      <c r="BE54" s="3">
        <f t="shared" si="90"/>
        <v>-432530231.89937735</v>
      </c>
      <c r="BF54" s="3">
        <f t="shared" si="91"/>
        <v>-418847804.71114779</v>
      </c>
      <c r="BG54" s="3">
        <f t="shared" si="92"/>
        <v>-407054036.32815886</v>
      </c>
      <c r="BH54" s="3">
        <f t="shared" si="93"/>
        <v>-396995963.33166426</v>
      </c>
      <c r="BI54" s="3">
        <f t="shared" si="94"/>
        <v>-388501180.70256615</v>
      </c>
      <c r="BJ54" s="3">
        <f t="shared" si="66"/>
        <v>-381379872.3608129</v>
      </c>
      <c r="BK54" s="3">
        <f t="shared" si="67"/>
        <v>-375427003.23093915</v>
      </c>
      <c r="BL54" s="3">
        <f t="shared" si="68"/>
        <v>-370424648.75451565</v>
      </c>
      <c r="BM54" s="3">
        <f t="shared" si="69"/>
        <v>-366144438.03946042</v>
      </c>
      <c r="BN54" s="3">
        <f t="shared" si="70"/>
        <v>-362350087.21810418</v>
      </c>
      <c r="BO54" s="3">
        <f t="shared" si="71"/>
        <v>-358800000</v>
      </c>
      <c r="BQ54" s="31"/>
      <c r="BR54" s="1">
        <v>0</v>
      </c>
      <c r="BS54" s="1">
        <f t="shared" si="35"/>
        <v>0.3415922014622258</v>
      </c>
      <c r="BT54" s="1">
        <f t="shared" si="95"/>
        <v>0.3867162803971414</v>
      </c>
      <c r="BU54" s="1">
        <f t="shared" si="95"/>
        <v>0.39358441341045353</v>
      </c>
      <c r="BV54" s="1">
        <f t="shared" si="95"/>
        <v>0.39465123071155611</v>
      </c>
      <c r="BW54" s="1">
        <f t="shared" si="95"/>
        <v>0.39481745705771337</v>
      </c>
      <c r="BX54" s="1">
        <f t="shared" si="95"/>
        <v>0.39484337025824801</v>
      </c>
      <c r="BY54" s="1">
        <f t="shared" si="95"/>
        <v>0.39484741020089792</v>
      </c>
      <c r="BZ54" s="1">
        <f t="shared" si="95"/>
        <v>0.39484804004704999</v>
      </c>
      <c r="CA54" s="1">
        <f t="shared" si="95"/>
        <v>0.39484813824322279</v>
      </c>
      <c r="CB54" s="1">
        <f t="shared" si="95"/>
        <v>0.39484815355250286</v>
      </c>
      <c r="CC54" s="1">
        <f t="shared" si="95"/>
        <v>0.39484815593929717</v>
      </c>
      <c r="CD54" s="1">
        <f t="shared" si="95"/>
        <v>0.39484815631141046</v>
      </c>
      <c r="CE54" s="1">
        <f t="shared" si="95"/>
        <v>0.39484815636942483</v>
      </c>
      <c r="CF54" s="1">
        <f t="shared" si="95"/>
        <v>0.39484815637846954</v>
      </c>
      <c r="CG54" s="1">
        <f t="shared" si="95"/>
        <v>0.39484815637987963</v>
      </c>
      <c r="CH54" s="1">
        <f t="shared" si="95"/>
        <v>0.39484815638009951</v>
      </c>
      <c r="CI54" s="1">
        <f t="shared" si="95"/>
        <v>0.39484815638013382</v>
      </c>
      <c r="CJ54" s="1">
        <f t="shared" si="95"/>
        <v>0.39484815638013915</v>
      </c>
      <c r="CK54" s="1">
        <f t="shared" si="95"/>
        <v>0.39484815638013998</v>
      </c>
      <c r="CL54" s="1">
        <f t="shared" si="95"/>
        <v>0.39484815638014015</v>
      </c>
      <c r="CM54" s="1">
        <f t="shared" si="95"/>
        <v>0.39484815638014015</v>
      </c>
      <c r="CN54" s="1">
        <f t="shared" si="95"/>
        <v>0.39484815638014015</v>
      </c>
      <c r="CO54" s="1">
        <f t="shared" ref="BT54:CU63" si="98">$C$17/($C$18-$C$19*CN54)</f>
        <v>0.39484815638014015</v>
      </c>
      <c r="CP54" s="1">
        <f t="shared" si="98"/>
        <v>0.39484815638014015</v>
      </c>
      <c r="CQ54" s="1">
        <f t="shared" si="98"/>
        <v>0.39484815638014015</v>
      </c>
      <c r="CR54" s="1">
        <f t="shared" si="98"/>
        <v>0.39484815638014015</v>
      </c>
      <c r="CS54" s="1">
        <f t="shared" si="98"/>
        <v>0.39484815638014015</v>
      </c>
      <c r="CT54" s="1">
        <f t="shared" si="98"/>
        <v>0.39484815638014015</v>
      </c>
      <c r="CU54" s="1">
        <f t="shared" si="98"/>
        <v>0.39484815638014015</v>
      </c>
      <c r="CW54" s="31"/>
      <c r="CX54" s="16">
        <f t="shared" si="36"/>
        <v>300</v>
      </c>
      <c r="CY54">
        <f t="shared" si="37"/>
        <v>193.44454151540529</v>
      </c>
      <c r="CZ54">
        <f t="shared" si="38"/>
        <v>173.20077052461778</v>
      </c>
      <c r="DA54">
        <f t="shared" si="39"/>
        <v>163.68843106055775</v>
      </c>
      <c r="DB54">
        <f t="shared" si="40"/>
        <v>155.82167714194904</v>
      </c>
      <c r="DC54">
        <f t="shared" si="41"/>
        <v>148.32418654793494</v>
      </c>
      <c r="DD54">
        <f t="shared" si="42"/>
        <v>141.04011181826999</v>
      </c>
      <c r="DE54">
        <f t="shared" si="43"/>
        <v>133.97730375540294</v>
      </c>
      <c r="DF54">
        <f t="shared" si="44"/>
        <v>127.16555025152201</v>
      </c>
      <c r="DG54">
        <f t="shared" si="45"/>
        <v>120.63520343872973</v>
      </c>
      <c r="DH54">
        <f t="shared" si="46"/>
        <v>114.4137053884088</v>
      </c>
      <c r="DI54">
        <f t="shared" si="47"/>
        <v>108.52480945516901</v>
      </c>
      <c r="DJ54">
        <f t="shared" si="48"/>
        <v>102.98824506412042</v>
      </c>
      <c r="DK54">
        <f t="shared" si="49"/>
        <v>97.819494265442046</v>
      </c>
      <c r="DL54">
        <f t="shared" si="50"/>
        <v>93.029632217098865</v>
      </c>
      <c r="DM54">
        <f t="shared" si="51"/>
        <v>88.625225012625975</v>
      </c>
      <c r="DN54">
        <f t="shared" si="52"/>
        <v>84.608283648313673</v>
      </c>
      <c r="DO54">
        <f t="shared" si="53"/>
        <v>80.976273050937309</v>
      </c>
      <c r="DP54">
        <f t="shared" si="54"/>
        <v>77.722174507935748</v>
      </c>
      <c r="DQ54">
        <f t="shared" si="55"/>
        <v>74.834599237527414</v>
      </c>
      <c r="DR54">
        <f t="shared" si="56"/>
        <v>72.29795031229223</v>
      </c>
      <c r="DS54">
        <f t="shared" si="57"/>
        <v>70.092629723050678</v>
      </c>
      <c r="DT54">
        <f t="shared" si="58"/>
        <v>68.195287040548621</v>
      </c>
      <c r="DU54">
        <f t="shared" si="59"/>
        <v>66.579105894969516</v>
      </c>
      <c r="DV54">
        <f t="shared" si="60"/>
        <v>65.214124338581485</v>
      </c>
      <c r="DW54">
        <f t="shared" si="61"/>
        <v>64.067585073222432</v>
      </c>
      <c r="DX54">
        <f t="shared" si="62"/>
        <v>63.104311498362371</v>
      </c>
      <c r="DY54">
        <f t="shared" si="63"/>
        <v>62.287105552704581</v>
      </c>
      <c r="DZ54">
        <f t="shared" si="64"/>
        <v>61.577163368070188</v>
      </c>
      <c r="EA54" s="16">
        <f t="shared" si="96"/>
        <v>24.313619224514206</v>
      </c>
    </row>
    <row r="55" spans="5:131" x14ac:dyDescent="0.3">
      <c r="E55" s="33"/>
      <c r="F55" s="17">
        <f t="shared" si="97"/>
        <v>300</v>
      </c>
      <c r="G55" s="17">
        <f t="shared" si="97"/>
        <v>287.20458331783192</v>
      </c>
      <c r="H55" s="15">
        <f t="shared" si="8"/>
        <v>274.47945650127753</v>
      </c>
      <c r="I55" s="15">
        <f t="shared" si="9"/>
        <v>261.89403216396988</v>
      </c>
      <c r="J55" s="15">
        <f t="shared" si="10"/>
        <v>249.51598121594662</v>
      </c>
      <c r="K55" s="15">
        <f t="shared" si="11"/>
        <v>237.41039374200534</v>
      </c>
      <c r="L55" s="15">
        <f t="shared" si="12"/>
        <v>225.6389772072514</v>
      </c>
      <c r="M55" s="15">
        <f t="shared" si="13"/>
        <v>214.25930321091454</v>
      </c>
      <c r="N55" s="15">
        <f t="shared" si="14"/>
        <v>203.32411301536513</v>
      </c>
      <c r="O55" s="15">
        <f t="shared" si="15"/>
        <v>192.88069089761242</v>
      </c>
      <c r="P55" s="15">
        <f t="shared" si="16"/>
        <v>182.97031304318864</v>
      </c>
      <c r="Q55" s="15">
        <f t="shared" si="17"/>
        <v>173.62777826859931</v>
      </c>
      <c r="R55" s="15">
        <f t="shared" si="18"/>
        <v>164.88102536165584</v>
      </c>
      <c r="S55" s="15">
        <f t="shared" si="19"/>
        <v>156.75084031219728</v>
      </c>
      <c r="T55" s="17">
        <f t="shared" si="19"/>
        <v>149.25065521040031</v>
      </c>
      <c r="U55" s="15">
        <f t="shared" si="20"/>
        <v>142.38643915412516</v>
      </c>
      <c r="V55" s="15">
        <f t="shared" si="21"/>
        <v>136.15668016384512</v>
      </c>
      <c r="W55" s="15">
        <f t="shared" si="22"/>
        <v>130.55245588106158</v>
      </c>
      <c r="X55" s="15">
        <f t="shared" si="23"/>
        <v>125.55758974443731</v>
      </c>
      <c r="Y55" s="15">
        <f t="shared" si="24"/>
        <v>121.14888841078474</v>
      </c>
      <c r="Z55" s="15">
        <f t="shared" si="25"/>
        <v>117.29645542188692</v>
      </c>
      <c r="AA55" s="15">
        <f t="shared" si="26"/>
        <v>113.96407551228974</v>
      </c>
      <c r="AB55" s="15">
        <f t="shared" si="27"/>
        <v>111.10966350062378</v>
      </c>
      <c r="AC55" s="15">
        <f t="shared" si="28"/>
        <v>108.68577139501528</v>
      </c>
      <c r="AD55" s="15">
        <f t="shared" si="29"/>
        <v>106.64014715446098</v>
      </c>
      <c r="AE55" s="15">
        <f t="shared" si="30"/>
        <v>104.91633846201012</v>
      </c>
      <c r="AF55" s="15">
        <f t="shared" si="31"/>
        <v>103.45433485945048</v>
      </c>
      <c r="AG55" s="15">
        <f t="shared" si="32"/>
        <v>102.19124164338535</v>
      </c>
      <c r="AH55" s="15">
        <f t="shared" si="33"/>
        <v>101.0619790060842</v>
      </c>
      <c r="AI55" s="17">
        <f t="shared" si="65"/>
        <v>100</v>
      </c>
      <c r="AK55" s="31"/>
      <c r="AL55" s="3">
        <f t="shared" si="34"/>
        <v>-1076400000</v>
      </c>
      <c r="AM55" s="3">
        <f t="shared" si="72"/>
        <v>-1030218121.5702678</v>
      </c>
      <c r="AN55" s="3">
        <f t="shared" si="73"/>
        <v>-984291836.91536975</v>
      </c>
      <c r="AO55" s="3">
        <f t="shared" si="74"/>
        <v>-938873542.71053839</v>
      </c>
      <c r="AP55" s="3">
        <f t="shared" si="75"/>
        <v>-894209288.40698302</v>
      </c>
      <c r="AQ55" s="3">
        <f t="shared" si="76"/>
        <v>-850535719.05097485</v>
      </c>
      <c r="AR55" s="3">
        <f t="shared" si="77"/>
        <v>-808077155.0354979</v>
      </c>
      <c r="AS55" s="3">
        <f t="shared" si="78"/>
        <v>-767042849.88903522</v>
      </c>
      <c r="AT55" s="3">
        <f t="shared" si="79"/>
        <v>-727624463.51336575</v>
      </c>
      <c r="AU55" s="3">
        <f t="shared" si="80"/>
        <v>-689993783.90351927</v>
      </c>
      <c r="AV55" s="3">
        <f t="shared" si="81"/>
        <v>-654300725.46031308</v>
      </c>
      <c r="AW55" s="3">
        <f t="shared" si="82"/>
        <v>-620671626.69455957</v>
      </c>
      <c r="AX55" s="3">
        <f t="shared" si="83"/>
        <v>-589207864.58415508</v>
      </c>
      <c r="AY55" s="3">
        <f t="shared" si="84"/>
        <v>-559984797.24264038</v>
      </c>
      <c r="AZ55" s="3">
        <f t="shared" si="85"/>
        <v>-533051041.04541069</v>
      </c>
      <c r="BA55" s="3">
        <f t="shared" si="86"/>
        <v>-508428083.07949233</v>
      </c>
      <c r="BB55" s="3">
        <f t="shared" si="87"/>
        <v>-486110224.85845542</v>
      </c>
      <c r="BC55" s="3">
        <f t="shared" si="88"/>
        <v>-466064848.77701718</v>
      </c>
      <c r="BD55" s="3">
        <f t="shared" si="89"/>
        <v>-448232994.84626472</v>
      </c>
      <c r="BE55" s="3">
        <f t="shared" si="90"/>
        <v>-432530231.89937735</v>
      </c>
      <c r="BF55" s="3">
        <f t="shared" si="91"/>
        <v>-418847804.71114779</v>
      </c>
      <c r="BG55" s="3">
        <f t="shared" si="92"/>
        <v>-407054036.32815892</v>
      </c>
      <c r="BH55" s="3">
        <f t="shared" si="93"/>
        <v>-396995963.33166426</v>
      </c>
      <c r="BI55" s="3">
        <f t="shared" si="94"/>
        <v>-388501180.70256615</v>
      </c>
      <c r="BJ55" s="3">
        <f t="shared" si="66"/>
        <v>-381379872.36081296</v>
      </c>
      <c r="BK55" s="3">
        <f t="shared" si="67"/>
        <v>-375427003.23093915</v>
      </c>
      <c r="BL55" s="3">
        <f t="shared" si="68"/>
        <v>-370424648.75451571</v>
      </c>
      <c r="BM55" s="3">
        <f t="shared" si="69"/>
        <v>-366144438.03946042</v>
      </c>
      <c r="BN55" s="3">
        <f t="shared" si="70"/>
        <v>-362350087.21810418</v>
      </c>
      <c r="BO55" s="3">
        <f t="shared" si="71"/>
        <v>-358800000</v>
      </c>
      <c r="BQ55" s="31"/>
      <c r="BR55" s="1">
        <v>0</v>
      </c>
      <c r="BS55" s="1">
        <f t="shared" si="35"/>
        <v>0.3415922014622258</v>
      </c>
      <c r="BT55" s="1">
        <f t="shared" si="98"/>
        <v>0.3867162803971414</v>
      </c>
      <c r="BU55" s="1">
        <f t="shared" si="98"/>
        <v>0.39358441341045353</v>
      </c>
      <c r="BV55" s="1">
        <f t="shared" si="98"/>
        <v>0.39465123071155611</v>
      </c>
      <c r="BW55" s="1">
        <f t="shared" si="98"/>
        <v>0.39481745705771337</v>
      </c>
      <c r="BX55" s="1">
        <f t="shared" si="98"/>
        <v>0.39484337025824801</v>
      </c>
      <c r="BY55" s="1">
        <f t="shared" si="98"/>
        <v>0.39484741020089792</v>
      </c>
      <c r="BZ55" s="1">
        <f t="shared" si="98"/>
        <v>0.39484804004704999</v>
      </c>
      <c r="CA55" s="1">
        <f t="shared" si="98"/>
        <v>0.39484813824322279</v>
      </c>
      <c r="CB55" s="1">
        <f t="shared" si="98"/>
        <v>0.39484815355250286</v>
      </c>
      <c r="CC55" s="1">
        <f t="shared" si="98"/>
        <v>0.39484815593929717</v>
      </c>
      <c r="CD55" s="1">
        <f t="shared" si="98"/>
        <v>0.39484815631141046</v>
      </c>
      <c r="CE55" s="1">
        <f t="shared" si="98"/>
        <v>0.39484815636942483</v>
      </c>
      <c r="CF55" s="1">
        <f t="shared" si="98"/>
        <v>0.39484815637846954</v>
      </c>
      <c r="CG55" s="1">
        <f t="shared" si="98"/>
        <v>0.39484815637987963</v>
      </c>
      <c r="CH55" s="1">
        <f t="shared" si="98"/>
        <v>0.39484815638009951</v>
      </c>
      <c r="CI55" s="1">
        <f t="shared" si="98"/>
        <v>0.39484815638013382</v>
      </c>
      <c r="CJ55" s="1">
        <f t="shared" si="98"/>
        <v>0.39484815638013915</v>
      </c>
      <c r="CK55" s="1">
        <f t="shared" si="98"/>
        <v>0.39484815638013998</v>
      </c>
      <c r="CL55" s="1">
        <f t="shared" si="98"/>
        <v>0.39484815638014015</v>
      </c>
      <c r="CM55" s="1">
        <f t="shared" si="98"/>
        <v>0.39484815638014015</v>
      </c>
      <c r="CN55" s="1">
        <f t="shared" si="98"/>
        <v>0.39484815638014015</v>
      </c>
      <c r="CO55" s="1">
        <f t="shared" si="98"/>
        <v>0.39484815638014015</v>
      </c>
      <c r="CP55" s="1">
        <f t="shared" si="98"/>
        <v>0.39484815638014015</v>
      </c>
      <c r="CQ55" s="1">
        <f t="shared" si="98"/>
        <v>0.39484815638014015</v>
      </c>
      <c r="CR55" s="1">
        <f t="shared" si="98"/>
        <v>0.39484815638014015</v>
      </c>
      <c r="CS55" s="1">
        <f t="shared" si="98"/>
        <v>0.39484815638014015</v>
      </c>
      <c r="CT55" s="1">
        <f t="shared" si="98"/>
        <v>0.39484815638014015</v>
      </c>
      <c r="CU55" s="1">
        <f t="shared" si="98"/>
        <v>0.39484815638014015</v>
      </c>
      <c r="CW55" s="31"/>
      <c r="CX55" s="16">
        <f t="shared" si="36"/>
        <v>300</v>
      </c>
      <c r="CY55">
        <f t="shared" si="37"/>
        <v>193.44454151540529</v>
      </c>
      <c r="CZ55">
        <f t="shared" si="38"/>
        <v>173.20077052461778</v>
      </c>
      <c r="DA55">
        <f t="shared" si="39"/>
        <v>163.6884310605578</v>
      </c>
      <c r="DB55">
        <f t="shared" si="40"/>
        <v>155.8216771419491</v>
      </c>
      <c r="DC55">
        <f t="shared" si="41"/>
        <v>148.324186547935</v>
      </c>
      <c r="DD55">
        <f t="shared" si="42"/>
        <v>141.04011181827005</v>
      </c>
      <c r="DE55">
        <f t="shared" si="43"/>
        <v>133.97730375540294</v>
      </c>
      <c r="DF55">
        <f t="shared" si="44"/>
        <v>127.16555025152201</v>
      </c>
      <c r="DG55">
        <f t="shared" si="45"/>
        <v>120.63520343872973</v>
      </c>
      <c r="DH55">
        <f t="shared" si="46"/>
        <v>114.4137053884088</v>
      </c>
      <c r="DI55">
        <f t="shared" si="47"/>
        <v>108.52480945516902</v>
      </c>
      <c r="DJ55">
        <f t="shared" si="48"/>
        <v>102.98824506412043</v>
      </c>
      <c r="DK55">
        <f t="shared" si="49"/>
        <v>97.819494265442046</v>
      </c>
      <c r="DL55">
        <f t="shared" si="50"/>
        <v>93.029632217098865</v>
      </c>
      <c r="DM55">
        <f t="shared" si="51"/>
        <v>88.625225012625975</v>
      </c>
      <c r="DN55">
        <f t="shared" si="52"/>
        <v>84.608283648313673</v>
      </c>
      <c r="DO55">
        <f t="shared" si="53"/>
        <v>80.976273050937309</v>
      </c>
      <c r="DP55">
        <f t="shared" si="54"/>
        <v>77.722174507935748</v>
      </c>
      <c r="DQ55">
        <f t="shared" si="55"/>
        <v>74.834599237527414</v>
      </c>
      <c r="DR55">
        <f t="shared" si="56"/>
        <v>72.29795031229223</v>
      </c>
      <c r="DS55">
        <f t="shared" si="57"/>
        <v>70.092629723050692</v>
      </c>
      <c r="DT55">
        <f t="shared" si="58"/>
        <v>68.195287040548635</v>
      </c>
      <c r="DU55">
        <f t="shared" si="59"/>
        <v>66.579105894969516</v>
      </c>
      <c r="DV55">
        <f t="shared" si="60"/>
        <v>65.214124338581485</v>
      </c>
      <c r="DW55">
        <f t="shared" si="61"/>
        <v>64.067585073222432</v>
      </c>
      <c r="DX55">
        <f t="shared" si="62"/>
        <v>63.104311498362371</v>
      </c>
      <c r="DY55">
        <f t="shared" si="63"/>
        <v>62.287105552704581</v>
      </c>
      <c r="DZ55">
        <f t="shared" si="64"/>
        <v>61.577163368070188</v>
      </c>
      <c r="EA55" s="16">
        <f t="shared" si="96"/>
        <v>24.313619224514206</v>
      </c>
    </row>
    <row r="56" spans="5:131" x14ac:dyDescent="0.3">
      <c r="E56" s="33"/>
      <c r="F56" s="17">
        <f t="shared" si="97"/>
        <v>300</v>
      </c>
      <c r="G56" s="17">
        <f t="shared" si="97"/>
        <v>287.20458331783192</v>
      </c>
      <c r="H56" s="15">
        <f t="shared" si="8"/>
        <v>274.47945650127753</v>
      </c>
      <c r="I56" s="15">
        <f t="shared" si="9"/>
        <v>261.89403216396988</v>
      </c>
      <c r="J56" s="15">
        <f t="shared" si="10"/>
        <v>249.51598121594657</v>
      </c>
      <c r="K56" s="15">
        <f t="shared" si="11"/>
        <v>237.41039374200531</v>
      </c>
      <c r="L56" s="15">
        <f t="shared" si="12"/>
        <v>225.6389772072514</v>
      </c>
      <c r="M56" s="15">
        <f t="shared" si="13"/>
        <v>214.25930321091454</v>
      </c>
      <c r="N56" s="15">
        <f t="shared" si="14"/>
        <v>203.32411301536513</v>
      </c>
      <c r="O56" s="15">
        <f t="shared" si="15"/>
        <v>192.88069089761242</v>
      </c>
      <c r="P56" s="15">
        <f t="shared" si="16"/>
        <v>182.97031304318864</v>
      </c>
      <c r="Q56" s="15">
        <f t="shared" si="17"/>
        <v>173.62777826859931</v>
      </c>
      <c r="R56" s="15">
        <f t="shared" si="18"/>
        <v>164.88102536165584</v>
      </c>
      <c r="S56" s="15">
        <f t="shared" si="19"/>
        <v>156.75084031219728</v>
      </c>
      <c r="T56" s="17">
        <f t="shared" si="19"/>
        <v>149.25065521040031</v>
      </c>
      <c r="U56" s="15">
        <f t="shared" si="20"/>
        <v>142.38643915412516</v>
      </c>
      <c r="V56" s="15">
        <f t="shared" si="21"/>
        <v>136.15668016384512</v>
      </c>
      <c r="W56" s="15">
        <f t="shared" si="22"/>
        <v>130.55245588106158</v>
      </c>
      <c r="X56" s="15">
        <f t="shared" si="23"/>
        <v>125.55758974443731</v>
      </c>
      <c r="Y56" s="15">
        <f t="shared" si="24"/>
        <v>121.14888841078474</v>
      </c>
      <c r="Z56" s="15">
        <f t="shared" si="25"/>
        <v>117.2964554218869</v>
      </c>
      <c r="AA56" s="15">
        <f t="shared" si="26"/>
        <v>113.96407551228972</v>
      </c>
      <c r="AB56" s="15">
        <f t="shared" si="27"/>
        <v>111.10966350062378</v>
      </c>
      <c r="AC56" s="15">
        <f t="shared" si="28"/>
        <v>108.68577139501528</v>
      </c>
      <c r="AD56" s="15">
        <f t="shared" si="29"/>
        <v>106.64014715446098</v>
      </c>
      <c r="AE56" s="15">
        <f t="shared" si="30"/>
        <v>104.91633846201012</v>
      </c>
      <c r="AF56" s="15">
        <f t="shared" si="31"/>
        <v>103.45433485945048</v>
      </c>
      <c r="AG56" s="15">
        <f t="shared" si="32"/>
        <v>102.19124164338535</v>
      </c>
      <c r="AH56" s="15">
        <f t="shared" si="33"/>
        <v>101.06197900608419</v>
      </c>
      <c r="AI56" s="17">
        <f t="shared" si="65"/>
        <v>100</v>
      </c>
      <c r="AK56" s="31"/>
      <c r="AL56" s="3">
        <f t="shared" si="34"/>
        <v>-1076400000</v>
      </c>
      <c r="AM56" s="3">
        <f t="shared" si="72"/>
        <v>-1030218121.5702678</v>
      </c>
      <c r="AN56" s="3">
        <f t="shared" si="73"/>
        <v>-984291836.91536975</v>
      </c>
      <c r="AO56" s="3">
        <f t="shared" si="74"/>
        <v>-938873542.71053863</v>
      </c>
      <c r="AP56" s="3">
        <f t="shared" si="75"/>
        <v>-894209288.4069829</v>
      </c>
      <c r="AQ56" s="3">
        <f t="shared" si="76"/>
        <v>-850535719.05097485</v>
      </c>
      <c r="AR56" s="3">
        <f t="shared" si="77"/>
        <v>-808077155.0354979</v>
      </c>
      <c r="AS56" s="3">
        <f t="shared" si="78"/>
        <v>-767042849.88903522</v>
      </c>
      <c r="AT56" s="3">
        <f t="shared" si="79"/>
        <v>-727624463.51336575</v>
      </c>
      <c r="AU56" s="3">
        <f t="shared" si="80"/>
        <v>-689993783.90351927</v>
      </c>
      <c r="AV56" s="3">
        <f t="shared" si="81"/>
        <v>-654300725.46031308</v>
      </c>
      <c r="AW56" s="3">
        <f t="shared" si="82"/>
        <v>-620671626.69455957</v>
      </c>
      <c r="AX56" s="3">
        <f t="shared" si="83"/>
        <v>-589207864.58415508</v>
      </c>
      <c r="AY56" s="3">
        <f t="shared" si="84"/>
        <v>-559984797.24264038</v>
      </c>
      <c r="AZ56" s="3">
        <f t="shared" si="85"/>
        <v>-533051041.04541069</v>
      </c>
      <c r="BA56" s="3">
        <f t="shared" si="86"/>
        <v>-508428083.07949233</v>
      </c>
      <c r="BB56" s="3">
        <f t="shared" si="87"/>
        <v>-486110224.85845542</v>
      </c>
      <c r="BC56" s="3">
        <f t="shared" si="88"/>
        <v>-466064848.77701706</v>
      </c>
      <c r="BD56" s="3">
        <f t="shared" si="89"/>
        <v>-448232994.84626472</v>
      </c>
      <c r="BE56" s="3">
        <f t="shared" si="90"/>
        <v>-432530231.89937735</v>
      </c>
      <c r="BF56" s="3">
        <f t="shared" si="91"/>
        <v>-418847804.71114773</v>
      </c>
      <c r="BG56" s="3">
        <f t="shared" si="92"/>
        <v>-407054036.32815886</v>
      </c>
      <c r="BH56" s="3">
        <f t="shared" si="93"/>
        <v>-396995963.33166426</v>
      </c>
      <c r="BI56" s="3">
        <f t="shared" si="94"/>
        <v>-388501180.70256615</v>
      </c>
      <c r="BJ56" s="3">
        <f t="shared" si="66"/>
        <v>-381379872.3608129</v>
      </c>
      <c r="BK56" s="3">
        <f t="shared" si="67"/>
        <v>-375427003.23093909</v>
      </c>
      <c r="BL56" s="3">
        <f t="shared" si="68"/>
        <v>-370424648.75451565</v>
      </c>
      <c r="BM56" s="3">
        <f t="shared" si="69"/>
        <v>-366144438.03946036</v>
      </c>
      <c r="BN56" s="3">
        <f t="shared" si="70"/>
        <v>-362350087.21810418</v>
      </c>
      <c r="BO56" s="3">
        <f t="shared" si="71"/>
        <v>-358800000</v>
      </c>
      <c r="BQ56" s="31"/>
      <c r="BR56" s="1">
        <v>0</v>
      </c>
      <c r="BS56" s="1">
        <f t="shared" si="35"/>
        <v>0.3415922014622258</v>
      </c>
      <c r="BT56" s="1">
        <f t="shared" si="98"/>
        <v>0.3867162803971414</v>
      </c>
      <c r="BU56" s="1">
        <f t="shared" si="98"/>
        <v>0.39358441341045353</v>
      </c>
      <c r="BV56" s="1">
        <f t="shared" si="98"/>
        <v>0.39465123071155611</v>
      </c>
      <c r="BW56" s="1">
        <f t="shared" si="98"/>
        <v>0.39481745705771337</v>
      </c>
      <c r="BX56" s="1">
        <f t="shared" si="98"/>
        <v>0.39484337025824801</v>
      </c>
      <c r="BY56" s="1">
        <f t="shared" si="98"/>
        <v>0.39484741020089792</v>
      </c>
      <c r="BZ56" s="1">
        <f t="shared" si="98"/>
        <v>0.39484804004704999</v>
      </c>
      <c r="CA56" s="1">
        <f t="shared" si="98"/>
        <v>0.39484813824322279</v>
      </c>
      <c r="CB56" s="1">
        <f t="shared" si="98"/>
        <v>0.39484815355250286</v>
      </c>
      <c r="CC56" s="1">
        <f t="shared" si="98"/>
        <v>0.39484815593929717</v>
      </c>
      <c r="CD56" s="1">
        <f t="shared" si="98"/>
        <v>0.39484815631141046</v>
      </c>
      <c r="CE56" s="1">
        <f t="shared" si="98"/>
        <v>0.39484815636942483</v>
      </c>
      <c r="CF56" s="1">
        <f t="shared" si="98"/>
        <v>0.39484815637846954</v>
      </c>
      <c r="CG56" s="1">
        <f t="shared" si="98"/>
        <v>0.39484815637987963</v>
      </c>
      <c r="CH56" s="1">
        <f t="shared" si="98"/>
        <v>0.39484815638009951</v>
      </c>
      <c r="CI56" s="1">
        <f t="shared" si="98"/>
        <v>0.39484815638013382</v>
      </c>
      <c r="CJ56" s="1">
        <f t="shared" si="98"/>
        <v>0.39484815638013915</v>
      </c>
      <c r="CK56" s="1">
        <f t="shared" si="98"/>
        <v>0.39484815638013998</v>
      </c>
      <c r="CL56" s="1">
        <f t="shared" si="98"/>
        <v>0.39484815638014015</v>
      </c>
      <c r="CM56" s="1">
        <f t="shared" si="98"/>
        <v>0.39484815638014015</v>
      </c>
      <c r="CN56" s="1">
        <f t="shared" si="98"/>
        <v>0.39484815638014015</v>
      </c>
      <c r="CO56" s="1">
        <f t="shared" si="98"/>
        <v>0.39484815638014015</v>
      </c>
      <c r="CP56" s="1">
        <f t="shared" si="98"/>
        <v>0.39484815638014015</v>
      </c>
      <c r="CQ56" s="1">
        <f t="shared" si="98"/>
        <v>0.39484815638014015</v>
      </c>
      <c r="CR56" s="1">
        <f t="shared" si="98"/>
        <v>0.39484815638014015</v>
      </c>
      <c r="CS56" s="1">
        <f t="shared" si="98"/>
        <v>0.39484815638014015</v>
      </c>
      <c r="CT56" s="1">
        <f t="shared" si="98"/>
        <v>0.39484815638014015</v>
      </c>
      <c r="CU56" s="1">
        <f t="shared" si="98"/>
        <v>0.39484815638014015</v>
      </c>
      <c r="CW56" s="31"/>
      <c r="CX56" s="16">
        <f t="shared" si="36"/>
        <v>300</v>
      </c>
      <c r="CY56">
        <f t="shared" si="37"/>
        <v>193.44454151540529</v>
      </c>
      <c r="CZ56">
        <f t="shared" si="38"/>
        <v>173.20077052461778</v>
      </c>
      <c r="DA56">
        <f t="shared" si="39"/>
        <v>163.6884310605578</v>
      </c>
      <c r="DB56">
        <f t="shared" si="40"/>
        <v>155.82167714194907</v>
      </c>
      <c r="DC56">
        <f t="shared" si="41"/>
        <v>148.32418654793497</v>
      </c>
      <c r="DD56">
        <f t="shared" si="42"/>
        <v>141.04011181827005</v>
      </c>
      <c r="DE56">
        <f t="shared" si="43"/>
        <v>133.97730375540294</v>
      </c>
      <c r="DF56">
        <f t="shared" si="44"/>
        <v>127.16555025152201</v>
      </c>
      <c r="DG56">
        <f t="shared" si="45"/>
        <v>120.63520343872973</v>
      </c>
      <c r="DH56">
        <f t="shared" si="46"/>
        <v>114.4137053884088</v>
      </c>
      <c r="DI56">
        <f t="shared" si="47"/>
        <v>108.52480945516902</v>
      </c>
      <c r="DJ56">
        <f t="shared" si="48"/>
        <v>102.98824506412043</v>
      </c>
      <c r="DK56">
        <f t="shared" si="49"/>
        <v>97.819494265442046</v>
      </c>
      <c r="DL56">
        <f t="shared" si="50"/>
        <v>93.029632217098865</v>
      </c>
      <c r="DM56">
        <f t="shared" si="51"/>
        <v>88.625225012625975</v>
      </c>
      <c r="DN56">
        <f t="shared" si="52"/>
        <v>84.608283648313673</v>
      </c>
      <c r="DO56">
        <f t="shared" si="53"/>
        <v>80.976273050937309</v>
      </c>
      <c r="DP56">
        <f t="shared" si="54"/>
        <v>77.722174507935748</v>
      </c>
      <c r="DQ56">
        <f t="shared" si="55"/>
        <v>74.834599237527414</v>
      </c>
      <c r="DR56">
        <f t="shared" si="56"/>
        <v>72.29795031229223</v>
      </c>
      <c r="DS56">
        <f t="shared" si="57"/>
        <v>70.092629723050678</v>
      </c>
      <c r="DT56">
        <f t="shared" si="58"/>
        <v>68.195287040548621</v>
      </c>
      <c r="DU56">
        <f t="shared" si="59"/>
        <v>66.579105894969516</v>
      </c>
      <c r="DV56">
        <f t="shared" si="60"/>
        <v>65.214124338581485</v>
      </c>
      <c r="DW56">
        <f t="shared" si="61"/>
        <v>64.067585073222418</v>
      </c>
      <c r="DX56">
        <f t="shared" si="62"/>
        <v>63.104311498362364</v>
      </c>
      <c r="DY56">
        <f t="shared" si="63"/>
        <v>62.287105552704574</v>
      </c>
      <c r="DZ56">
        <f t="shared" si="64"/>
        <v>61.577163368070174</v>
      </c>
      <c r="EA56" s="16">
        <f t="shared" si="96"/>
        <v>24.313619224514202</v>
      </c>
    </row>
    <row r="57" spans="5:131" x14ac:dyDescent="0.3">
      <c r="E57" s="33"/>
      <c r="F57" s="17">
        <f t="shared" si="97"/>
        <v>300</v>
      </c>
      <c r="G57" s="17">
        <f t="shared" si="97"/>
        <v>287.20458331783192</v>
      </c>
      <c r="H57" s="15">
        <f t="shared" si="8"/>
        <v>274.47945650127747</v>
      </c>
      <c r="I57" s="15">
        <f t="shared" si="9"/>
        <v>261.89403216396983</v>
      </c>
      <c r="J57" s="15">
        <f t="shared" si="10"/>
        <v>249.51598121594657</v>
      </c>
      <c r="K57" s="15">
        <f t="shared" si="11"/>
        <v>237.41039374200528</v>
      </c>
      <c r="L57" s="15">
        <f t="shared" si="12"/>
        <v>225.63897720725134</v>
      </c>
      <c r="M57" s="15">
        <f t="shared" si="13"/>
        <v>214.25930321091451</v>
      </c>
      <c r="N57" s="15">
        <f t="shared" si="14"/>
        <v>203.32411301536513</v>
      </c>
      <c r="O57" s="15">
        <f t="shared" si="15"/>
        <v>192.88069089761242</v>
      </c>
      <c r="P57" s="15">
        <f t="shared" si="16"/>
        <v>182.97031304318861</v>
      </c>
      <c r="Q57" s="15">
        <f t="shared" si="17"/>
        <v>173.62777826859929</v>
      </c>
      <c r="R57" s="15">
        <f t="shared" si="18"/>
        <v>164.88102536165582</v>
      </c>
      <c r="S57" s="15">
        <f t="shared" si="19"/>
        <v>156.75084031219728</v>
      </c>
      <c r="T57" s="17">
        <f t="shared" si="19"/>
        <v>149.25065521040028</v>
      </c>
      <c r="U57" s="15">
        <f t="shared" si="20"/>
        <v>142.38643915412513</v>
      </c>
      <c r="V57" s="15">
        <f t="shared" si="21"/>
        <v>136.15668016384507</v>
      </c>
      <c r="W57" s="15">
        <f t="shared" si="22"/>
        <v>130.55245588106152</v>
      </c>
      <c r="X57" s="15">
        <f t="shared" si="23"/>
        <v>125.55758974443727</v>
      </c>
      <c r="Y57" s="15">
        <f t="shared" si="24"/>
        <v>121.14888841078471</v>
      </c>
      <c r="Z57" s="15">
        <f t="shared" si="25"/>
        <v>117.29645542188689</v>
      </c>
      <c r="AA57" s="15">
        <f t="shared" si="26"/>
        <v>113.96407551228972</v>
      </c>
      <c r="AB57" s="15">
        <f t="shared" si="27"/>
        <v>111.10966350062375</v>
      </c>
      <c r="AC57" s="15">
        <f t="shared" si="28"/>
        <v>108.68577139501525</v>
      </c>
      <c r="AD57" s="15">
        <f t="shared" si="29"/>
        <v>106.64014715446095</v>
      </c>
      <c r="AE57" s="15">
        <f t="shared" si="30"/>
        <v>104.91633846201009</v>
      </c>
      <c r="AF57" s="15">
        <f t="shared" si="31"/>
        <v>103.45433485945046</v>
      </c>
      <c r="AG57" s="15">
        <f t="shared" si="32"/>
        <v>102.19124164338535</v>
      </c>
      <c r="AH57" s="15">
        <f t="shared" si="33"/>
        <v>101.06197900608419</v>
      </c>
      <c r="AI57" s="17">
        <f t="shared" si="65"/>
        <v>100</v>
      </c>
      <c r="AK57" s="31"/>
      <c r="AL57" s="3">
        <f t="shared" si="34"/>
        <v>-1076400000</v>
      </c>
      <c r="AM57" s="3">
        <f t="shared" si="72"/>
        <v>-1030218121.5702678</v>
      </c>
      <c r="AN57" s="3">
        <f t="shared" si="73"/>
        <v>-984291836.91536951</v>
      </c>
      <c r="AO57" s="3">
        <f t="shared" si="74"/>
        <v>-938873542.71053839</v>
      </c>
      <c r="AP57" s="3">
        <f t="shared" si="75"/>
        <v>-894209288.40698278</v>
      </c>
      <c r="AQ57" s="3">
        <f t="shared" si="76"/>
        <v>-850535719.05097461</v>
      </c>
      <c r="AR57" s="3">
        <f t="shared" si="77"/>
        <v>-808077155.03549767</v>
      </c>
      <c r="AS57" s="3">
        <f t="shared" si="78"/>
        <v>-767042849.88903499</v>
      </c>
      <c r="AT57" s="3">
        <f t="shared" si="79"/>
        <v>-727624463.51336575</v>
      </c>
      <c r="AU57" s="3">
        <f t="shared" si="80"/>
        <v>-689993783.90351915</v>
      </c>
      <c r="AV57" s="3">
        <f t="shared" si="81"/>
        <v>-654300725.46031284</v>
      </c>
      <c r="AW57" s="3">
        <f t="shared" si="82"/>
        <v>-620671626.69455945</v>
      </c>
      <c r="AX57" s="3">
        <f t="shared" si="83"/>
        <v>-589207864.58415508</v>
      </c>
      <c r="AY57" s="3">
        <f t="shared" si="84"/>
        <v>-559984797.24264026</v>
      </c>
      <c r="AZ57" s="3">
        <f t="shared" si="85"/>
        <v>-533051041.04541057</v>
      </c>
      <c r="BA57" s="3">
        <f t="shared" si="86"/>
        <v>-508428083.07949227</v>
      </c>
      <c r="BB57" s="3">
        <f t="shared" si="87"/>
        <v>-486110224.85845524</v>
      </c>
      <c r="BC57" s="3">
        <f t="shared" si="88"/>
        <v>-466064848.777017</v>
      </c>
      <c r="BD57" s="3">
        <f t="shared" si="89"/>
        <v>-448232994.84626454</v>
      </c>
      <c r="BE57" s="3">
        <f t="shared" si="90"/>
        <v>-432530231.89937723</v>
      </c>
      <c r="BF57" s="3">
        <f t="shared" si="91"/>
        <v>-418847804.71114761</v>
      </c>
      <c r="BG57" s="3">
        <f t="shared" si="92"/>
        <v>-407054036.3281588</v>
      </c>
      <c r="BH57" s="3">
        <f t="shared" si="93"/>
        <v>-396995963.3316642</v>
      </c>
      <c r="BI57" s="3">
        <f t="shared" si="94"/>
        <v>-388501180.70256603</v>
      </c>
      <c r="BJ57" s="3">
        <f t="shared" si="66"/>
        <v>-381379872.36081284</v>
      </c>
      <c r="BK57" s="3">
        <f t="shared" si="67"/>
        <v>-375427003.23093897</v>
      </c>
      <c r="BL57" s="3">
        <f t="shared" si="68"/>
        <v>-370424648.75451559</v>
      </c>
      <c r="BM57" s="3">
        <f t="shared" si="69"/>
        <v>-366144438.03946036</v>
      </c>
      <c r="BN57" s="3">
        <f t="shared" si="70"/>
        <v>-362350087.21810418</v>
      </c>
      <c r="BO57" s="3">
        <f t="shared" si="71"/>
        <v>-358800000</v>
      </c>
      <c r="BQ57" s="31"/>
      <c r="BR57" s="1">
        <v>0</v>
      </c>
      <c r="BS57" s="1">
        <f t="shared" si="35"/>
        <v>0.3415922014622258</v>
      </c>
      <c r="BT57" s="1">
        <f t="shared" si="98"/>
        <v>0.3867162803971414</v>
      </c>
      <c r="BU57" s="1">
        <f t="shared" si="98"/>
        <v>0.39358441341045353</v>
      </c>
      <c r="BV57" s="1">
        <f t="shared" si="98"/>
        <v>0.39465123071155611</v>
      </c>
      <c r="BW57" s="1">
        <f t="shared" si="98"/>
        <v>0.39481745705771337</v>
      </c>
      <c r="BX57" s="1">
        <f t="shared" si="98"/>
        <v>0.39484337025824801</v>
      </c>
      <c r="BY57" s="1">
        <f t="shared" si="98"/>
        <v>0.39484741020089792</v>
      </c>
      <c r="BZ57" s="1">
        <f t="shared" si="98"/>
        <v>0.39484804004704999</v>
      </c>
      <c r="CA57" s="1">
        <f t="shared" si="98"/>
        <v>0.39484813824322279</v>
      </c>
      <c r="CB57" s="1">
        <f t="shared" si="98"/>
        <v>0.39484815355250286</v>
      </c>
      <c r="CC57" s="1">
        <f t="shared" si="98"/>
        <v>0.39484815593929717</v>
      </c>
      <c r="CD57" s="1">
        <f t="shared" si="98"/>
        <v>0.39484815631141046</v>
      </c>
      <c r="CE57" s="1">
        <f t="shared" si="98"/>
        <v>0.39484815636942483</v>
      </c>
      <c r="CF57" s="1">
        <f t="shared" si="98"/>
        <v>0.39484815637846954</v>
      </c>
      <c r="CG57" s="1">
        <f t="shared" si="98"/>
        <v>0.39484815637987963</v>
      </c>
      <c r="CH57" s="1">
        <f t="shared" si="98"/>
        <v>0.39484815638009951</v>
      </c>
      <c r="CI57" s="1">
        <f t="shared" si="98"/>
        <v>0.39484815638013382</v>
      </c>
      <c r="CJ57" s="1">
        <f t="shared" si="98"/>
        <v>0.39484815638013915</v>
      </c>
      <c r="CK57" s="1">
        <f t="shared" si="98"/>
        <v>0.39484815638013998</v>
      </c>
      <c r="CL57" s="1">
        <f t="shared" si="98"/>
        <v>0.39484815638014015</v>
      </c>
      <c r="CM57" s="1">
        <f t="shared" si="98"/>
        <v>0.39484815638014015</v>
      </c>
      <c r="CN57" s="1">
        <f t="shared" si="98"/>
        <v>0.39484815638014015</v>
      </c>
      <c r="CO57" s="1">
        <f t="shared" si="98"/>
        <v>0.39484815638014015</v>
      </c>
      <c r="CP57" s="1">
        <f t="shared" si="98"/>
        <v>0.39484815638014015</v>
      </c>
      <c r="CQ57" s="1">
        <f t="shared" si="98"/>
        <v>0.39484815638014015</v>
      </c>
      <c r="CR57" s="1">
        <f t="shared" si="98"/>
        <v>0.39484815638014015</v>
      </c>
      <c r="CS57" s="1">
        <f t="shared" si="98"/>
        <v>0.39484815638014015</v>
      </c>
      <c r="CT57" s="1">
        <f t="shared" si="98"/>
        <v>0.39484815638014015</v>
      </c>
      <c r="CU57" s="1">
        <f t="shared" si="98"/>
        <v>0.39484815638014015</v>
      </c>
      <c r="CW57" s="31"/>
      <c r="CX57" s="16">
        <f t="shared" si="36"/>
        <v>300</v>
      </c>
      <c r="CY57">
        <f t="shared" si="37"/>
        <v>193.44454151540529</v>
      </c>
      <c r="CZ57">
        <f t="shared" si="38"/>
        <v>173.20077052461775</v>
      </c>
      <c r="DA57">
        <f t="shared" si="39"/>
        <v>163.68843106055778</v>
      </c>
      <c r="DB57">
        <f t="shared" si="40"/>
        <v>155.82167714194907</v>
      </c>
      <c r="DC57">
        <f t="shared" si="41"/>
        <v>148.32418654793494</v>
      </c>
      <c r="DD57">
        <f t="shared" si="42"/>
        <v>141.04011181826999</v>
      </c>
      <c r="DE57">
        <f t="shared" si="43"/>
        <v>133.97730375540291</v>
      </c>
      <c r="DF57">
        <f t="shared" si="44"/>
        <v>127.16555025152201</v>
      </c>
      <c r="DG57">
        <f t="shared" si="45"/>
        <v>120.63520343872973</v>
      </c>
      <c r="DH57">
        <f t="shared" si="46"/>
        <v>114.4137053884088</v>
      </c>
      <c r="DI57">
        <f t="shared" si="47"/>
        <v>108.52480945516901</v>
      </c>
      <c r="DJ57">
        <f t="shared" si="48"/>
        <v>102.98824506412042</v>
      </c>
      <c r="DK57">
        <f t="shared" si="49"/>
        <v>97.819494265442032</v>
      </c>
      <c r="DL57">
        <f t="shared" si="50"/>
        <v>93.02963221709885</v>
      </c>
      <c r="DM57">
        <f t="shared" si="51"/>
        <v>88.625225012625961</v>
      </c>
      <c r="DN57">
        <f t="shared" si="52"/>
        <v>84.608283648313645</v>
      </c>
      <c r="DO57">
        <f t="shared" si="53"/>
        <v>80.97627305093728</v>
      </c>
      <c r="DP57">
        <f t="shared" si="54"/>
        <v>77.722174507935719</v>
      </c>
      <c r="DQ57">
        <f t="shared" si="55"/>
        <v>74.834599237527385</v>
      </c>
      <c r="DR57">
        <f t="shared" si="56"/>
        <v>72.297950312292215</v>
      </c>
      <c r="DS57">
        <f t="shared" si="57"/>
        <v>70.092629723050678</v>
      </c>
      <c r="DT57">
        <f t="shared" si="58"/>
        <v>68.195287040548607</v>
      </c>
      <c r="DU57">
        <f t="shared" si="59"/>
        <v>66.579105894969501</v>
      </c>
      <c r="DV57">
        <f t="shared" si="60"/>
        <v>65.21412433858147</v>
      </c>
      <c r="DW57">
        <f t="shared" si="61"/>
        <v>64.067585073222403</v>
      </c>
      <c r="DX57">
        <f t="shared" si="62"/>
        <v>63.10431149836235</v>
      </c>
      <c r="DY57">
        <f t="shared" si="63"/>
        <v>62.287105552704574</v>
      </c>
      <c r="DZ57">
        <f t="shared" si="64"/>
        <v>61.577163368070174</v>
      </c>
      <c r="EA57" s="16">
        <f t="shared" si="96"/>
        <v>24.313619224514202</v>
      </c>
    </row>
    <row r="58" spans="5:131" x14ac:dyDescent="0.3">
      <c r="E58" s="33"/>
      <c r="F58" s="17">
        <f t="shared" si="97"/>
        <v>300</v>
      </c>
      <c r="G58" s="17">
        <f t="shared" si="97"/>
        <v>287.20458331783192</v>
      </c>
      <c r="H58" s="15">
        <f t="shared" si="8"/>
        <v>274.47945650127747</v>
      </c>
      <c r="I58" s="15">
        <f t="shared" si="9"/>
        <v>261.89403216396983</v>
      </c>
      <c r="J58" s="15">
        <f t="shared" si="10"/>
        <v>249.51598121594654</v>
      </c>
      <c r="K58" s="15">
        <f t="shared" si="11"/>
        <v>237.41039374200528</v>
      </c>
      <c r="L58" s="15">
        <f t="shared" si="12"/>
        <v>225.63897720725134</v>
      </c>
      <c r="M58" s="15">
        <f t="shared" si="13"/>
        <v>214.25930321091448</v>
      </c>
      <c r="N58" s="15">
        <f t="shared" si="14"/>
        <v>203.32411301536507</v>
      </c>
      <c r="O58" s="15">
        <f t="shared" si="15"/>
        <v>192.8806908976124</v>
      </c>
      <c r="P58" s="15">
        <f t="shared" si="16"/>
        <v>182.97031304318858</v>
      </c>
      <c r="Q58" s="15">
        <f t="shared" si="17"/>
        <v>173.62777826859929</v>
      </c>
      <c r="R58" s="15">
        <f t="shared" si="18"/>
        <v>164.88102536165582</v>
      </c>
      <c r="S58" s="15">
        <f t="shared" si="19"/>
        <v>156.75084031219725</v>
      </c>
      <c r="T58" s="17">
        <f t="shared" si="19"/>
        <v>149.25065521040028</v>
      </c>
      <c r="U58" s="15">
        <f t="shared" si="20"/>
        <v>142.3864391541251</v>
      </c>
      <c r="V58" s="15">
        <f t="shared" si="21"/>
        <v>136.15668016384507</v>
      </c>
      <c r="W58" s="15">
        <f t="shared" si="22"/>
        <v>130.55245588106152</v>
      </c>
      <c r="X58" s="15">
        <f t="shared" si="23"/>
        <v>125.55758974443724</v>
      </c>
      <c r="Y58" s="15">
        <f t="shared" si="24"/>
        <v>121.14888841078466</v>
      </c>
      <c r="Z58" s="15">
        <f t="shared" si="25"/>
        <v>117.29645542188688</v>
      </c>
      <c r="AA58" s="15">
        <f t="shared" si="26"/>
        <v>113.9640755122897</v>
      </c>
      <c r="AB58" s="15">
        <f t="shared" si="27"/>
        <v>111.10966350062374</v>
      </c>
      <c r="AC58" s="15">
        <f t="shared" si="28"/>
        <v>108.68577139501522</v>
      </c>
      <c r="AD58" s="15">
        <f t="shared" si="29"/>
        <v>106.64014715446092</v>
      </c>
      <c r="AE58" s="15">
        <f t="shared" si="30"/>
        <v>104.91633846201006</v>
      </c>
      <c r="AF58" s="15">
        <f t="shared" si="31"/>
        <v>103.45433485945046</v>
      </c>
      <c r="AG58" s="15">
        <f t="shared" si="32"/>
        <v>102.19124164338535</v>
      </c>
      <c r="AH58" s="15">
        <f t="shared" si="33"/>
        <v>101.06197900608419</v>
      </c>
      <c r="AI58" s="17">
        <f t="shared" si="65"/>
        <v>100</v>
      </c>
      <c r="AK58" s="31"/>
      <c r="AL58" s="3">
        <f t="shared" si="34"/>
        <v>-1076400000</v>
      </c>
      <c r="AM58" s="3">
        <f t="shared" si="72"/>
        <v>-1030218121.5702678</v>
      </c>
      <c r="AN58" s="3">
        <f t="shared" si="73"/>
        <v>-984291836.91536927</v>
      </c>
      <c r="AO58" s="3">
        <f t="shared" si="74"/>
        <v>-938873542.71053815</v>
      </c>
      <c r="AP58" s="3">
        <f t="shared" si="75"/>
        <v>-894209288.40698266</v>
      </c>
      <c r="AQ58" s="3">
        <f t="shared" si="76"/>
        <v>-850535719.05097461</v>
      </c>
      <c r="AR58" s="3">
        <f t="shared" si="77"/>
        <v>-808077155.03549755</v>
      </c>
      <c r="AS58" s="3">
        <f t="shared" si="78"/>
        <v>-767042849.88903475</v>
      </c>
      <c r="AT58" s="3">
        <f t="shared" si="79"/>
        <v>-727624463.51336551</v>
      </c>
      <c r="AU58" s="3">
        <f t="shared" si="80"/>
        <v>-689993783.90351915</v>
      </c>
      <c r="AV58" s="3">
        <f t="shared" si="81"/>
        <v>-654300725.46031284</v>
      </c>
      <c r="AW58" s="3">
        <f t="shared" si="82"/>
        <v>-620671626.69455934</v>
      </c>
      <c r="AX58" s="3">
        <f t="shared" si="83"/>
        <v>-589207864.58415496</v>
      </c>
      <c r="AY58" s="3">
        <f t="shared" si="84"/>
        <v>-559984797.24264014</v>
      </c>
      <c r="AZ58" s="3">
        <f t="shared" si="85"/>
        <v>-533051041.04541051</v>
      </c>
      <c r="BA58" s="3">
        <f t="shared" si="86"/>
        <v>-508428083.07949215</v>
      </c>
      <c r="BB58" s="3">
        <f t="shared" si="87"/>
        <v>-486110224.85845524</v>
      </c>
      <c r="BC58" s="3">
        <f t="shared" si="88"/>
        <v>-466064848.77701688</v>
      </c>
      <c r="BD58" s="3">
        <f t="shared" si="89"/>
        <v>-448232994.84626448</v>
      </c>
      <c r="BE58" s="3">
        <f t="shared" si="90"/>
        <v>-432530231.89937711</v>
      </c>
      <c r="BF58" s="3">
        <f t="shared" si="91"/>
        <v>-418847804.71114761</v>
      </c>
      <c r="BG58" s="3">
        <f t="shared" si="92"/>
        <v>-407054036.32815874</v>
      </c>
      <c r="BH58" s="3">
        <f t="shared" si="93"/>
        <v>-396995963.3316642</v>
      </c>
      <c r="BI58" s="3">
        <f t="shared" si="94"/>
        <v>-388501180.70256597</v>
      </c>
      <c r="BJ58" s="3">
        <f t="shared" si="66"/>
        <v>-381379872.36081272</v>
      </c>
      <c r="BK58" s="3">
        <f t="shared" si="67"/>
        <v>-375427003.23093891</v>
      </c>
      <c r="BL58" s="3">
        <f t="shared" si="68"/>
        <v>-370424648.75451559</v>
      </c>
      <c r="BM58" s="3">
        <f t="shared" si="69"/>
        <v>-366144438.0394603</v>
      </c>
      <c r="BN58" s="3">
        <f t="shared" si="70"/>
        <v>-362350087.21810418</v>
      </c>
      <c r="BO58" s="3">
        <f t="shared" si="71"/>
        <v>-358800000</v>
      </c>
      <c r="BQ58" s="31"/>
      <c r="BR58" s="1">
        <v>0</v>
      </c>
      <c r="BS58" s="1">
        <f t="shared" si="35"/>
        <v>0.3415922014622258</v>
      </c>
      <c r="BT58" s="1">
        <f t="shared" si="98"/>
        <v>0.3867162803971414</v>
      </c>
      <c r="BU58" s="1">
        <f t="shared" si="98"/>
        <v>0.39358441341045353</v>
      </c>
      <c r="BV58" s="1">
        <f t="shared" si="98"/>
        <v>0.39465123071155611</v>
      </c>
      <c r="BW58" s="1">
        <f t="shared" si="98"/>
        <v>0.39481745705771337</v>
      </c>
      <c r="BX58" s="1">
        <f t="shared" si="98"/>
        <v>0.39484337025824801</v>
      </c>
      <c r="BY58" s="1">
        <f t="shared" si="98"/>
        <v>0.39484741020089792</v>
      </c>
      <c r="BZ58" s="1">
        <f t="shared" si="98"/>
        <v>0.39484804004704999</v>
      </c>
      <c r="CA58" s="1">
        <f t="shared" si="98"/>
        <v>0.39484813824322279</v>
      </c>
      <c r="CB58" s="1">
        <f t="shared" si="98"/>
        <v>0.39484815355250286</v>
      </c>
      <c r="CC58" s="1">
        <f t="shared" si="98"/>
        <v>0.39484815593929717</v>
      </c>
      <c r="CD58" s="1">
        <f t="shared" si="98"/>
        <v>0.39484815631141046</v>
      </c>
      <c r="CE58" s="1">
        <f t="shared" si="98"/>
        <v>0.39484815636942483</v>
      </c>
      <c r="CF58" s="1">
        <f t="shared" si="98"/>
        <v>0.39484815637846954</v>
      </c>
      <c r="CG58" s="1">
        <f t="shared" si="98"/>
        <v>0.39484815637987963</v>
      </c>
      <c r="CH58" s="1">
        <f t="shared" si="98"/>
        <v>0.39484815638009951</v>
      </c>
      <c r="CI58" s="1">
        <f t="shared" si="98"/>
        <v>0.39484815638013382</v>
      </c>
      <c r="CJ58" s="1">
        <f t="shared" si="98"/>
        <v>0.39484815638013915</v>
      </c>
      <c r="CK58" s="1">
        <f t="shared" si="98"/>
        <v>0.39484815638013998</v>
      </c>
      <c r="CL58" s="1">
        <f t="shared" si="98"/>
        <v>0.39484815638014015</v>
      </c>
      <c r="CM58" s="1">
        <f t="shared" si="98"/>
        <v>0.39484815638014015</v>
      </c>
      <c r="CN58" s="1">
        <f t="shared" si="98"/>
        <v>0.39484815638014015</v>
      </c>
      <c r="CO58" s="1">
        <f t="shared" si="98"/>
        <v>0.39484815638014015</v>
      </c>
      <c r="CP58" s="1">
        <f t="shared" si="98"/>
        <v>0.39484815638014015</v>
      </c>
      <c r="CQ58" s="1">
        <f t="shared" si="98"/>
        <v>0.39484815638014015</v>
      </c>
      <c r="CR58" s="1">
        <f t="shared" si="98"/>
        <v>0.39484815638014015</v>
      </c>
      <c r="CS58" s="1">
        <f t="shared" si="98"/>
        <v>0.39484815638014015</v>
      </c>
      <c r="CT58" s="1">
        <f t="shared" si="98"/>
        <v>0.39484815638014015</v>
      </c>
      <c r="CU58" s="1">
        <f t="shared" si="98"/>
        <v>0.39484815638014015</v>
      </c>
      <c r="CW58" s="31"/>
      <c r="CX58" s="16">
        <f t="shared" si="36"/>
        <v>300</v>
      </c>
      <c r="CY58">
        <f t="shared" si="37"/>
        <v>193.44454151540529</v>
      </c>
      <c r="CZ58">
        <f t="shared" si="38"/>
        <v>173.20077052461775</v>
      </c>
      <c r="DA58">
        <f t="shared" si="39"/>
        <v>163.68843106055775</v>
      </c>
      <c r="DB58">
        <f t="shared" si="40"/>
        <v>155.82167714194904</v>
      </c>
      <c r="DC58">
        <f t="shared" si="41"/>
        <v>148.32418654793494</v>
      </c>
      <c r="DD58">
        <f t="shared" si="42"/>
        <v>141.04011181826999</v>
      </c>
      <c r="DE58">
        <f t="shared" si="43"/>
        <v>133.97730375540289</v>
      </c>
      <c r="DF58">
        <f t="shared" si="44"/>
        <v>127.16555025152195</v>
      </c>
      <c r="DG58">
        <f t="shared" si="45"/>
        <v>120.6352034387297</v>
      </c>
      <c r="DH58">
        <f t="shared" si="46"/>
        <v>114.41370538840877</v>
      </c>
      <c r="DI58">
        <f t="shared" si="47"/>
        <v>108.52480945516899</v>
      </c>
      <c r="DJ58">
        <f t="shared" si="48"/>
        <v>102.98824506412041</v>
      </c>
      <c r="DK58">
        <f t="shared" si="49"/>
        <v>97.819494265442017</v>
      </c>
      <c r="DL58">
        <f t="shared" si="50"/>
        <v>93.02963221709885</v>
      </c>
      <c r="DM58">
        <f t="shared" si="51"/>
        <v>88.625225012625947</v>
      </c>
      <c r="DN58">
        <f t="shared" si="52"/>
        <v>84.608283648313645</v>
      </c>
      <c r="DO58">
        <f t="shared" si="53"/>
        <v>80.976273050937266</v>
      </c>
      <c r="DP58">
        <f t="shared" si="54"/>
        <v>77.722174507935705</v>
      </c>
      <c r="DQ58">
        <f t="shared" si="55"/>
        <v>74.834599237527357</v>
      </c>
      <c r="DR58">
        <f t="shared" si="56"/>
        <v>72.297950312292215</v>
      </c>
      <c r="DS58">
        <f t="shared" si="57"/>
        <v>70.092629723050663</v>
      </c>
      <c r="DT58">
        <f t="shared" si="58"/>
        <v>68.195287040548607</v>
      </c>
      <c r="DU58">
        <f t="shared" si="59"/>
        <v>66.579105894969487</v>
      </c>
      <c r="DV58">
        <f t="shared" si="60"/>
        <v>65.214124338581456</v>
      </c>
      <c r="DW58">
        <f t="shared" si="61"/>
        <v>64.067585073222389</v>
      </c>
      <c r="DX58">
        <f t="shared" si="62"/>
        <v>63.10431149836235</v>
      </c>
      <c r="DY58">
        <f t="shared" si="63"/>
        <v>62.287105552704574</v>
      </c>
      <c r="DZ58">
        <f t="shared" si="64"/>
        <v>61.577163368070174</v>
      </c>
      <c r="EA58" s="16">
        <f t="shared" si="96"/>
        <v>24.313619224514202</v>
      </c>
    </row>
    <row r="59" spans="5:131" x14ac:dyDescent="0.3">
      <c r="E59" s="33"/>
      <c r="F59" s="17">
        <f t="shared" si="97"/>
        <v>300</v>
      </c>
      <c r="G59" s="17">
        <f t="shared" si="97"/>
        <v>287.20458331783186</v>
      </c>
      <c r="H59" s="15">
        <f t="shared" si="8"/>
        <v>274.47945650127741</v>
      </c>
      <c r="I59" s="15">
        <f t="shared" si="9"/>
        <v>261.89403216396977</v>
      </c>
      <c r="J59" s="15">
        <f t="shared" si="10"/>
        <v>249.51598121594651</v>
      </c>
      <c r="K59" s="15">
        <f t="shared" si="11"/>
        <v>237.4103937420052</v>
      </c>
      <c r="L59" s="15">
        <f t="shared" si="12"/>
        <v>225.63897720725123</v>
      </c>
      <c r="M59" s="15">
        <f t="shared" si="13"/>
        <v>214.25930321091437</v>
      </c>
      <c r="N59" s="15">
        <f t="shared" si="14"/>
        <v>203.32411301536501</v>
      </c>
      <c r="O59" s="15">
        <f t="shared" si="15"/>
        <v>192.88069089761231</v>
      </c>
      <c r="P59" s="15">
        <f t="shared" si="16"/>
        <v>182.97031304318853</v>
      </c>
      <c r="Q59" s="15">
        <f t="shared" si="17"/>
        <v>173.62777826859923</v>
      </c>
      <c r="R59" s="15">
        <f t="shared" si="18"/>
        <v>164.88102536165576</v>
      </c>
      <c r="S59" s="15">
        <f t="shared" si="19"/>
        <v>156.7508403121972</v>
      </c>
      <c r="T59" s="17">
        <f t="shared" si="19"/>
        <v>149.25065521040023</v>
      </c>
      <c r="U59" s="15">
        <f t="shared" si="20"/>
        <v>142.38643915412507</v>
      </c>
      <c r="V59" s="15">
        <f t="shared" si="21"/>
        <v>136.15668016384504</v>
      </c>
      <c r="W59" s="15">
        <f t="shared" si="22"/>
        <v>130.55245588106149</v>
      </c>
      <c r="X59" s="15">
        <f t="shared" si="23"/>
        <v>125.55758974443722</v>
      </c>
      <c r="Y59" s="15">
        <f t="shared" si="24"/>
        <v>121.14888841078465</v>
      </c>
      <c r="Z59" s="15">
        <f t="shared" si="25"/>
        <v>117.29645542188686</v>
      </c>
      <c r="AA59" s="15">
        <f t="shared" si="26"/>
        <v>113.96407551228968</v>
      </c>
      <c r="AB59" s="15">
        <f t="shared" si="27"/>
        <v>111.10966350062374</v>
      </c>
      <c r="AC59" s="15">
        <f t="shared" si="28"/>
        <v>108.68577139501522</v>
      </c>
      <c r="AD59" s="15">
        <f t="shared" si="29"/>
        <v>106.64014715446089</v>
      </c>
      <c r="AE59" s="15">
        <f t="shared" si="30"/>
        <v>104.91633846201003</v>
      </c>
      <c r="AF59" s="15">
        <f t="shared" si="31"/>
        <v>103.45433485945043</v>
      </c>
      <c r="AG59" s="15">
        <f t="shared" si="32"/>
        <v>102.19124164338533</v>
      </c>
      <c r="AH59" s="15">
        <f t="shared" si="33"/>
        <v>101.06197900608419</v>
      </c>
      <c r="AI59" s="17">
        <f t="shared" si="65"/>
        <v>100</v>
      </c>
      <c r="AK59" s="31"/>
      <c r="AL59" s="3">
        <f t="shared" si="34"/>
        <v>-1076400000</v>
      </c>
      <c r="AM59" s="3">
        <f t="shared" si="72"/>
        <v>-1030218121.5702677</v>
      </c>
      <c r="AN59" s="3">
        <f t="shared" si="73"/>
        <v>-984291836.91536915</v>
      </c>
      <c r="AO59" s="3">
        <f t="shared" si="74"/>
        <v>-938873542.71053815</v>
      </c>
      <c r="AP59" s="3">
        <f t="shared" si="75"/>
        <v>-894209288.40698254</v>
      </c>
      <c r="AQ59" s="3">
        <f t="shared" si="76"/>
        <v>-850535719.05097449</v>
      </c>
      <c r="AR59" s="3">
        <f t="shared" si="77"/>
        <v>-808077155.03549731</v>
      </c>
      <c r="AS59" s="3">
        <f t="shared" si="78"/>
        <v>-767042849.88903451</v>
      </c>
      <c r="AT59" s="3">
        <f t="shared" si="79"/>
        <v>-727624463.51336527</v>
      </c>
      <c r="AU59" s="3">
        <f t="shared" si="80"/>
        <v>-689993783.90351892</v>
      </c>
      <c r="AV59" s="3">
        <f t="shared" si="81"/>
        <v>-654300725.4603126</v>
      </c>
      <c r="AW59" s="3">
        <f t="shared" si="82"/>
        <v>-620671626.69455922</v>
      </c>
      <c r="AX59" s="3">
        <f t="shared" si="83"/>
        <v>-589207864.58415484</v>
      </c>
      <c r="AY59" s="3">
        <f t="shared" si="84"/>
        <v>-559984797.24264014</v>
      </c>
      <c r="AZ59" s="3">
        <f t="shared" si="85"/>
        <v>-533051041.04541051</v>
      </c>
      <c r="BA59" s="3">
        <f t="shared" si="86"/>
        <v>-508428083.07949203</v>
      </c>
      <c r="BB59" s="3">
        <f t="shared" si="87"/>
        <v>-486110224.85845512</v>
      </c>
      <c r="BC59" s="3">
        <f t="shared" si="88"/>
        <v>-466064848.77701688</v>
      </c>
      <c r="BD59" s="3">
        <f t="shared" si="89"/>
        <v>-448232994.84626442</v>
      </c>
      <c r="BE59" s="3">
        <f t="shared" si="90"/>
        <v>-432530231.89937711</v>
      </c>
      <c r="BF59" s="3">
        <f t="shared" si="91"/>
        <v>-418847804.71114755</v>
      </c>
      <c r="BG59" s="3">
        <f t="shared" si="92"/>
        <v>-407054036.32815868</v>
      </c>
      <c r="BH59" s="3">
        <f t="shared" si="93"/>
        <v>-396995963.3316642</v>
      </c>
      <c r="BI59" s="3">
        <f t="shared" si="94"/>
        <v>-388501180.70256597</v>
      </c>
      <c r="BJ59" s="3">
        <f t="shared" si="66"/>
        <v>-381379872.36081266</v>
      </c>
      <c r="BK59" s="3">
        <f t="shared" si="67"/>
        <v>-375427003.23093885</v>
      </c>
      <c r="BL59" s="3">
        <f t="shared" si="68"/>
        <v>-370424648.75451547</v>
      </c>
      <c r="BM59" s="3">
        <f t="shared" si="69"/>
        <v>-366144438.0394603</v>
      </c>
      <c r="BN59" s="3">
        <f t="shared" si="70"/>
        <v>-362350087.21810412</v>
      </c>
      <c r="BO59" s="3">
        <f t="shared" si="71"/>
        <v>-358800000</v>
      </c>
      <c r="BQ59" s="31"/>
      <c r="BR59" s="1">
        <v>0</v>
      </c>
      <c r="BS59" s="1">
        <f t="shared" si="35"/>
        <v>0.3415922014622258</v>
      </c>
      <c r="BT59" s="1">
        <f t="shared" si="98"/>
        <v>0.3867162803971414</v>
      </c>
      <c r="BU59" s="1">
        <f t="shared" si="98"/>
        <v>0.39358441341045353</v>
      </c>
      <c r="BV59" s="1">
        <f t="shared" si="98"/>
        <v>0.39465123071155611</v>
      </c>
      <c r="BW59" s="1">
        <f t="shared" si="98"/>
        <v>0.39481745705771337</v>
      </c>
      <c r="BX59" s="1">
        <f t="shared" si="98"/>
        <v>0.39484337025824801</v>
      </c>
      <c r="BY59" s="1">
        <f t="shared" si="98"/>
        <v>0.39484741020089792</v>
      </c>
      <c r="BZ59" s="1">
        <f t="shared" si="98"/>
        <v>0.39484804004704999</v>
      </c>
      <c r="CA59" s="1">
        <f t="shared" si="98"/>
        <v>0.39484813824322279</v>
      </c>
      <c r="CB59" s="1">
        <f t="shared" si="98"/>
        <v>0.39484815355250286</v>
      </c>
      <c r="CC59" s="1">
        <f t="shared" si="98"/>
        <v>0.39484815593929717</v>
      </c>
      <c r="CD59" s="1">
        <f t="shared" si="98"/>
        <v>0.39484815631141046</v>
      </c>
      <c r="CE59" s="1">
        <f t="shared" si="98"/>
        <v>0.39484815636942483</v>
      </c>
      <c r="CF59" s="1">
        <f t="shared" si="98"/>
        <v>0.39484815637846954</v>
      </c>
      <c r="CG59" s="1">
        <f t="shared" si="98"/>
        <v>0.39484815637987963</v>
      </c>
      <c r="CH59" s="1">
        <f t="shared" si="98"/>
        <v>0.39484815638009951</v>
      </c>
      <c r="CI59" s="1">
        <f t="shared" si="98"/>
        <v>0.39484815638013382</v>
      </c>
      <c r="CJ59" s="1">
        <f t="shared" si="98"/>
        <v>0.39484815638013915</v>
      </c>
      <c r="CK59" s="1">
        <f t="shared" si="98"/>
        <v>0.39484815638013998</v>
      </c>
      <c r="CL59" s="1">
        <f t="shared" si="98"/>
        <v>0.39484815638014015</v>
      </c>
      <c r="CM59" s="1">
        <f t="shared" si="98"/>
        <v>0.39484815638014015</v>
      </c>
      <c r="CN59" s="1">
        <f t="shared" si="98"/>
        <v>0.39484815638014015</v>
      </c>
      <c r="CO59" s="1">
        <f t="shared" si="98"/>
        <v>0.39484815638014015</v>
      </c>
      <c r="CP59" s="1">
        <f t="shared" si="98"/>
        <v>0.39484815638014015</v>
      </c>
      <c r="CQ59" s="1">
        <f t="shared" si="98"/>
        <v>0.39484815638014015</v>
      </c>
      <c r="CR59" s="1">
        <f t="shared" si="98"/>
        <v>0.39484815638014015</v>
      </c>
      <c r="CS59" s="1">
        <f t="shared" si="98"/>
        <v>0.39484815638014015</v>
      </c>
      <c r="CT59" s="1">
        <f t="shared" si="98"/>
        <v>0.39484815638014015</v>
      </c>
      <c r="CU59" s="1">
        <f t="shared" si="98"/>
        <v>0.39484815638014015</v>
      </c>
      <c r="CW59" s="31"/>
      <c r="CX59" s="16">
        <f t="shared" si="36"/>
        <v>300</v>
      </c>
      <c r="CY59">
        <f t="shared" si="37"/>
        <v>193.44454151540529</v>
      </c>
      <c r="CZ59">
        <f t="shared" si="38"/>
        <v>173.20077052461772</v>
      </c>
      <c r="DA59">
        <f t="shared" si="39"/>
        <v>163.68843106055775</v>
      </c>
      <c r="DB59">
        <f t="shared" si="40"/>
        <v>155.82167714194904</v>
      </c>
      <c r="DC59">
        <f t="shared" si="41"/>
        <v>148.32418654793491</v>
      </c>
      <c r="DD59">
        <f t="shared" si="42"/>
        <v>141.04011181826996</v>
      </c>
      <c r="DE59">
        <f t="shared" si="43"/>
        <v>133.97730375540283</v>
      </c>
      <c r="DF59">
        <f t="shared" si="44"/>
        <v>127.16555025152191</v>
      </c>
      <c r="DG59">
        <f t="shared" si="45"/>
        <v>120.63520343872966</v>
      </c>
      <c r="DH59">
        <f t="shared" si="46"/>
        <v>114.41370538840873</v>
      </c>
      <c r="DI59">
        <f t="shared" si="47"/>
        <v>108.52480945516895</v>
      </c>
      <c r="DJ59">
        <f t="shared" si="48"/>
        <v>102.98824506412038</v>
      </c>
      <c r="DK59">
        <f t="shared" si="49"/>
        <v>97.819494265441989</v>
      </c>
      <c r="DL59">
        <f t="shared" si="50"/>
        <v>93.029632217098822</v>
      </c>
      <c r="DM59">
        <f t="shared" si="51"/>
        <v>88.625225012625918</v>
      </c>
      <c r="DN59">
        <f t="shared" si="52"/>
        <v>84.60828364831363</v>
      </c>
      <c r="DO59">
        <f t="shared" si="53"/>
        <v>80.976273050937266</v>
      </c>
      <c r="DP59">
        <f t="shared" si="54"/>
        <v>77.722174507935705</v>
      </c>
      <c r="DQ59">
        <f t="shared" si="55"/>
        <v>74.834599237527357</v>
      </c>
      <c r="DR59">
        <f t="shared" si="56"/>
        <v>72.297950312292201</v>
      </c>
      <c r="DS59">
        <f t="shared" si="57"/>
        <v>70.092629723050649</v>
      </c>
      <c r="DT59">
        <f t="shared" si="58"/>
        <v>68.195287040548607</v>
      </c>
      <c r="DU59">
        <f t="shared" si="59"/>
        <v>66.579105894969487</v>
      </c>
      <c r="DV59">
        <f t="shared" si="60"/>
        <v>65.214124338581442</v>
      </c>
      <c r="DW59">
        <f t="shared" si="61"/>
        <v>64.067585073222375</v>
      </c>
      <c r="DX59">
        <f t="shared" si="62"/>
        <v>63.104311498362328</v>
      </c>
      <c r="DY59">
        <f t="shared" si="63"/>
        <v>62.28710555270456</v>
      </c>
      <c r="DZ59">
        <f t="shared" si="64"/>
        <v>61.577163368070167</v>
      </c>
      <c r="EA59" s="16">
        <f t="shared" si="96"/>
        <v>24.313619224514198</v>
      </c>
    </row>
    <row r="60" spans="5:131" x14ac:dyDescent="0.3">
      <c r="E60" s="33"/>
      <c r="F60" s="17">
        <f t="shared" si="97"/>
        <v>300</v>
      </c>
      <c r="G60" s="17">
        <f t="shared" si="97"/>
        <v>287.20458331783192</v>
      </c>
      <c r="H60" s="15">
        <f t="shared" si="8"/>
        <v>274.47945650127747</v>
      </c>
      <c r="I60" s="15">
        <f t="shared" si="9"/>
        <v>261.89403216396977</v>
      </c>
      <c r="J60" s="15">
        <f t="shared" si="10"/>
        <v>249.51598121594651</v>
      </c>
      <c r="K60" s="15">
        <f t="shared" si="11"/>
        <v>237.41039374200523</v>
      </c>
      <c r="L60" s="15">
        <f t="shared" si="12"/>
        <v>225.63897720725123</v>
      </c>
      <c r="M60" s="15">
        <f t="shared" si="13"/>
        <v>214.25930321091437</v>
      </c>
      <c r="N60" s="15">
        <f t="shared" si="14"/>
        <v>203.32411301536501</v>
      </c>
      <c r="O60" s="15">
        <f t="shared" si="15"/>
        <v>192.88069089761231</v>
      </c>
      <c r="P60" s="15">
        <f t="shared" si="16"/>
        <v>182.97031304318853</v>
      </c>
      <c r="Q60" s="15">
        <f t="shared" si="17"/>
        <v>173.62777826859923</v>
      </c>
      <c r="R60" s="15">
        <f t="shared" si="18"/>
        <v>164.88102536165576</v>
      </c>
      <c r="S60" s="15">
        <f t="shared" si="19"/>
        <v>156.7508403121972</v>
      </c>
      <c r="T60" s="17">
        <f t="shared" si="19"/>
        <v>149.25065521040023</v>
      </c>
      <c r="U60" s="15">
        <f t="shared" si="20"/>
        <v>142.38643915412507</v>
      </c>
      <c r="V60" s="15">
        <f t="shared" si="21"/>
        <v>136.15668016384507</v>
      </c>
      <c r="W60" s="15">
        <f t="shared" si="22"/>
        <v>130.55245588106152</v>
      </c>
      <c r="X60" s="15">
        <f t="shared" si="23"/>
        <v>125.55758974443725</v>
      </c>
      <c r="Y60" s="15">
        <f t="shared" si="24"/>
        <v>121.14888841078468</v>
      </c>
      <c r="Z60" s="15">
        <f t="shared" si="25"/>
        <v>117.29645542188688</v>
      </c>
      <c r="AA60" s="15">
        <f t="shared" si="26"/>
        <v>113.9640755122897</v>
      </c>
      <c r="AB60" s="15">
        <f t="shared" si="27"/>
        <v>111.10966350062374</v>
      </c>
      <c r="AC60" s="15">
        <f t="shared" si="28"/>
        <v>108.68577139501522</v>
      </c>
      <c r="AD60" s="15">
        <f t="shared" si="29"/>
        <v>106.64014715446092</v>
      </c>
      <c r="AE60" s="15">
        <f t="shared" si="30"/>
        <v>104.91633846201006</v>
      </c>
      <c r="AF60" s="15">
        <f t="shared" si="31"/>
        <v>103.45433485945043</v>
      </c>
      <c r="AG60" s="15">
        <f t="shared" si="32"/>
        <v>102.19124164338533</v>
      </c>
      <c r="AH60" s="15">
        <f t="shared" si="33"/>
        <v>101.06197900608419</v>
      </c>
      <c r="AI60" s="17">
        <f t="shared" si="65"/>
        <v>100</v>
      </c>
      <c r="AK60" s="31"/>
      <c r="AL60" s="3">
        <f t="shared" si="34"/>
        <v>-1076400000</v>
      </c>
      <c r="AM60" s="3">
        <f t="shared" si="72"/>
        <v>-1030218121.5702678</v>
      </c>
      <c r="AN60" s="3">
        <f t="shared" si="73"/>
        <v>-984291836.91536927</v>
      </c>
      <c r="AO60" s="3">
        <f t="shared" si="74"/>
        <v>-938873542.71053815</v>
      </c>
      <c r="AP60" s="3">
        <f t="shared" si="75"/>
        <v>-894209288.40698266</v>
      </c>
      <c r="AQ60" s="3">
        <f t="shared" si="76"/>
        <v>-850535719.05097461</v>
      </c>
      <c r="AR60" s="3">
        <f t="shared" si="77"/>
        <v>-808077155.03549743</v>
      </c>
      <c r="AS60" s="3">
        <f t="shared" si="78"/>
        <v>-767042849.88903451</v>
      </c>
      <c r="AT60" s="3">
        <f t="shared" si="79"/>
        <v>-727624463.51336539</v>
      </c>
      <c r="AU60" s="3">
        <f t="shared" si="80"/>
        <v>-689993783.90351892</v>
      </c>
      <c r="AV60" s="3">
        <f t="shared" si="81"/>
        <v>-654300725.46031272</v>
      </c>
      <c r="AW60" s="3">
        <f t="shared" si="82"/>
        <v>-620671626.69455922</v>
      </c>
      <c r="AX60" s="3">
        <f t="shared" si="83"/>
        <v>-589207864.58415496</v>
      </c>
      <c r="AY60" s="3">
        <f t="shared" si="84"/>
        <v>-559984797.24264014</v>
      </c>
      <c r="AZ60" s="3">
        <f t="shared" si="85"/>
        <v>-533051041.04541051</v>
      </c>
      <c r="BA60" s="3">
        <f t="shared" si="86"/>
        <v>-508428083.07949215</v>
      </c>
      <c r="BB60" s="3">
        <f t="shared" si="87"/>
        <v>-486110224.85845524</v>
      </c>
      <c r="BC60" s="3">
        <f t="shared" si="88"/>
        <v>-466064848.777017</v>
      </c>
      <c r="BD60" s="3">
        <f t="shared" si="89"/>
        <v>-448232994.84626454</v>
      </c>
      <c r="BE60" s="3">
        <f t="shared" si="90"/>
        <v>-432530231.89937711</v>
      </c>
      <c r="BF60" s="3">
        <f t="shared" si="91"/>
        <v>-418847804.71114761</v>
      </c>
      <c r="BG60" s="3">
        <f t="shared" si="92"/>
        <v>-407054036.32815874</v>
      </c>
      <c r="BH60" s="3">
        <f t="shared" si="93"/>
        <v>-396995963.3316642</v>
      </c>
      <c r="BI60" s="3">
        <f t="shared" si="94"/>
        <v>-388501180.70256597</v>
      </c>
      <c r="BJ60" s="3">
        <f t="shared" si="66"/>
        <v>-381379872.36081272</v>
      </c>
      <c r="BK60" s="3">
        <f t="shared" si="67"/>
        <v>-375427003.23093897</v>
      </c>
      <c r="BL60" s="3">
        <f t="shared" si="68"/>
        <v>-370424648.75451553</v>
      </c>
      <c r="BM60" s="3">
        <f t="shared" si="69"/>
        <v>-366144438.0394603</v>
      </c>
      <c r="BN60" s="3">
        <f t="shared" si="70"/>
        <v>-362350087.21810412</v>
      </c>
      <c r="BO60" s="3">
        <f t="shared" si="71"/>
        <v>-358800000</v>
      </c>
      <c r="BQ60" s="31"/>
      <c r="BR60" s="1">
        <v>0</v>
      </c>
      <c r="BS60" s="1">
        <f t="shared" si="35"/>
        <v>0.3415922014622258</v>
      </c>
      <c r="BT60" s="1">
        <f t="shared" si="98"/>
        <v>0.3867162803971414</v>
      </c>
      <c r="BU60" s="1">
        <f t="shared" si="98"/>
        <v>0.39358441341045353</v>
      </c>
      <c r="BV60" s="1">
        <f t="shared" si="98"/>
        <v>0.39465123071155611</v>
      </c>
      <c r="BW60" s="1">
        <f t="shared" si="98"/>
        <v>0.39481745705771337</v>
      </c>
      <c r="BX60" s="1">
        <f t="shared" si="98"/>
        <v>0.39484337025824801</v>
      </c>
      <c r="BY60" s="1">
        <f t="shared" si="98"/>
        <v>0.39484741020089792</v>
      </c>
      <c r="BZ60" s="1">
        <f t="shared" si="98"/>
        <v>0.39484804004704999</v>
      </c>
      <c r="CA60" s="1">
        <f t="shared" si="98"/>
        <v>0.39484813824322279</v>
      </c>
      <c r="CB60" s="1">
        <f t="shared" si="98"/>
        <v>0.39484815355250286</v>
      </c>
      <c r="CC60" s="1">
        <f t="shared" si="98"/>
        <v>0.39484815593929717</v>
      </c>
      <c r="CD60" s="1">
        <f t="shared" si="98"/>
        <v>0.39484815631141046</v>
      </c>
      <c r="CE60" s="1">
        <f t="shared" si="98"/>
        <v>0.39484815636942483</v>
      </c>
      <c r="CF60" s="1">
        <f t="shared" si="98"/>
        <v>0.39484815637846954</v>
      </c>
      <c r="CG60" s="1">
        <f t="shared" si="98"/>
        <v>0.39484815637987963</v>
      </c>
      <c r="CH60" s="1">
        <f t="shared" si="98"/>
        <v>0.39484815638009951</v>
      </c>
      <c r="CI60" s="1">
        <f t="shared" si="98"/>
        <v>0.39484815638013382</v>
      </c>
      <c r="CJ60" s="1">
        <f t="shared" si="98"/>
        <v>0.39484815638013915</v>
      </c>
      <c r="CK60" s="1">
        <f t="shared" si="98"/>
        <v>0.39484815638013998</v>
      </c>
      <c r="CL60" s="1">
        <f t="shared" si="98"/>
        <v>0.39484815638014015</v>
      </c>
      <c r="CM60" s="1">
        <f t="shared" si="98"/>
        <v>0.39484815638014015</v>
      </c>
      <c r="CN60" s="1">
        <f t="shared" si="98"/>
        <v>0.39484815638014015</v>
      </c>
      <c r="CO60" s="1">
        <f t="shared" si="98"/>
        <v>0.39484815638014015</v>
      </c>
      <c r="CP60" s="1">
        <f t="shared" si="98"/>
        <v>0.39484815638014015</v>
      </c>
      <c r="CQ60" s="1">
        <f t="shared" si="98"/>
        <v>0.39484815638014015</v>
      </c>
      <c r="CR60" s="1">
        <f t="shared" si="98"/>
        <v>0.39484815638014015</v>
      </c>
      <c r="CS60" s="1">
        <f t="shared" si="98"/>
        <v>0.39484815638014015</v>
      </c>
      <c r="CT60" s="1">
        <f t="shared" si="98"/>
        <v>0.39484815638014015</v>
      </c>
      <c r="CU60" s="1">
        <f t="shared" si="98"/>
        <v>0.39484815638014015</v>
      </c>
      <c r="CW60" s="31"/>
      <c r="CX60" s="16">
        <f t="shared" si="36"/>
        <v>300</v>
      </c>
      <c r="CY60">
        <f t="shared" si="37"/>
        <v>193.44454151540529</v>
      </c>
      <c r="CZ60">
        <f t="shared" si="38"/>
        <v>173.20077052461775</v>
      </c>
      <c r="DA60">
        <f t="shared" si="39"/>
        <v>163.68843106055775</v>
      </c>
      <c r="DB60">
        <f t="shared" si="40"/>
        <v>155.82167714194904</v>
      </c>
      <c r="DC60">
        <f t="shared" si="41"/>
        <v>148.32418654793494</v>
      </c>
      <c r="DD60">
        <f t="shared" si="42"/>
        <v>141.04011181826996</v>
      </c>
      <c r="DE60">
        <f t="shared" si="43"/>
        <v>133.97730375540283</v>
      </c>
      <c r="DF60">
        <f t="shared" si="44"/>
        <v>127.16555025152191</v>
      </c>
      <c r="DG60">
        <f t="shared" si="45"/>
        <v>120.63520343872966</v>
      </c>
      <c r="DH60">
        <f t="shared" si="46"/>
        <v>114.41370538840876</v>
      </c>
      <c r="DI60">
        <f t="shared" si="47"/>
        <v>108.52480945516896</v>
      </c>
      <c r="DJ60">
        <f t="shared" si="48"/>
        <v>102.98824506412038</v>
      </c>
      <c r="DK60">
        <f t="shared" si="49"/>
        <v>97.819494265441989</v>
      </c>
      <c r="DL60">
        <f t="shared" si="50"/>
        <v>93.029632217098822</v>
      </c>
      <c r="DM60">
        <f t="shared" si="51"/>
        <v>88.625225012625933</v>
      </c>
      <c r="DN60">
        <f t="shared" si="52"/>
        <v>84.608283648313645</v>
      </c>
      <c r="DO60">
        <f t="shared" si="53"/>
        <v>80.97627305093728</v>
      </c>
      <c r="DP60">
        <f t="shared" si="54"/>
        <v>77.722174507935719</v>
      </c>
      <c r="DQ60">
        <f t="shared" si="55"/>
        <v>74.834599237527371</v>
      </c>
      <c r="DR60">
        <f t="shared" si="56"/>
        <v>72.297950312292215</v>
      </c>
      <c r="DS60">
        <f t="shared" si="57"/>
        <v>70.092629723050663</v>
      </c>
      <c r="DT60">
        <f t="shared" si="58"/>
        <v>68.195287040548607</v>
      </c>
      <c r="DU60">
        <f t="shared" si="59"/>
        <v>66.579105894969487</v>
      </c>
      <c r="DV60">
        <f t="shared" si="60"/>
        <v>65.214124338581456</v>
      </c>
      <c r="DW60">
        <f t="shared" si="61"/>
        <v>64.067585073222389</v>
      </c>
      <c r="DX60">
        <f t="shared" si="62"/>
        <v>63.104311498362335</v>
      </c>
      <c r="DY60">
        <f t="shared" si="63"/>
        <v>62.28710555270456</v>
      </c>
      <c r="DZ60">
        <f t="shared" si="64"/>
        <v>61.577163368070167</v>
      </c>
      <c r="EA60" s="16">
        <f t="shared" si="96"/>
        <v>24.313619224514198</v>
      </c>
    </row>
    <row r="61" spans="5:131" x14ac:dyDescent="0.3">
      <c r="E61" s="33"/>
      <c r="F61" s="17">
        <f t="shared" si="97"/>
        <v>300</v>
      </c>
      <c r="G61" s="17">
        <f t="shared" si="97"/>
        <v>287.20458331783192</v>
      </c>
      <c r="H61" s="15">
        <f t="shared" si="8"/>
        <v>274.47945650127747</v>
      </c>
      <c r="I61" s="15">
        <f t="shared" si="9"/>
        <v>261.89403216396983</v>
      </c>
      <c r="J61" s="15">
        <f t="shared" si="10"/>
        <v>249.51598121594654</v>
      </c>
      <c r="K61" s="15">
        <f t="shared" si="11"/>
        <v>237.41039374200528</v>
      </c>
      <c r="L61" s="15">
        <f t="shared" si="12"/>
        <v>225.63897720725134</v>
      </c>
      <c r="M61" s="15">
        <f t="shared" si="13"/>
        <v>214.25930321091448</v>
      </c>
      <c r="N61" s="15">
        <f t="shared" si="14"/>
        <v>203.32411301536507</v>
      </c>
      <c r="O61" s="15">
        <f t="shared" si="15"/>
        <v>192.8806908976124</v>
      </c>
      <c r="P61" s="15">
        <f t="shared" si="16"/>
        <v>182.97031304318858</v>
      </c>
      <c r="Q61" s="15">
        <f t="shared" si="17"/>
        <v>173.62777826859929</v>
      </c>
      <c r="R61" s="15">
        <f t="shared" si="18"/>
        <v>164.88102536165582</v>
      </c>
      <c r="S61" s="15">
        <f t="shared" si="19"/>
        <v>156.75084031219725</v>
      </c>
      <c r="T61" s="17">
        <f t="shared" si="19"/>
        <v>149.25065521040028</v>
      </c>
      <c r="U61" s="15">
        <f t="shared" si="20"/>
        <v>142.3864391541251</v>
      </c>
      <c r="V61" s="15">
        <f t="shared" si="21"/>
        <v>136.15668016384507</v>
      </c>
      <c r="W61" s="15">
        <f t="shared" si="22"/>
        <v>130.55245588106155</v>
      </c>
      <c r="X61" s="15">
        <f t="shared" si="23"/>
        <v>125.55758974443728</v>
      </c>
      <c r="Y61" s="15">
        <f t="shared" si="24"/>
        <v>121.14888841078469</v>
      </c>
      <c r="Z61" s="15">
        <f t="shared" si="25"/>
        <v>117.29645542188688</v>
      </c>
      <c r="AA61" s="15">
        <f t="shared" si="26"/>
        <v>113.9640755122897</v>
      </c>
      <c r="AB61" s="15">
        <f t="shared" si="27"/>
        <v>111.10966350062374</v>
      </c>
      <c r="AC61" s="15">
        <f t="shared" si="28"/>
        <v>108.68577139501522</v>
      </c>
      <c r="AD61" s="15">
        <f t="shared" si="29"/>
        <v>106.64014715446092</v>
      </c>
      <c r="AE61" s="15">
        <f t="shared" si="30"/>
        <v>104.91633846201006</v>
      </c>
      <c r="AF61" s="15">
        <f t="shared" si="31"/>
        <v>103.45433485945046</v>
      </c>
      <c r="AG61" s="15">
        <f t="shared" si="32"/>
        <v>102.19124164338535</v>
      </c>
      <c r="AH61" s="15">
        <f t="shared" si="33"/>
        <v>101.06197900608419</v>
      </c>
      <c r="AI61" s="17">
        <f t="shared" si="65"/>
        <v>100</v>
      </c>
      <c r="AK61" s="31"/>
      <c r="AL61" s="3">
        <f t="shared" si="34"/>
        <v>-1076400000</v>
      </c>
      <c r="AM61" s="3">
        <f t="shared" si="72"/>
        <v>-1030218121.5702678</v>
      </c>
      <c r="AN61" s="3">
        <f t="shared" si="73"/>
        <v>-984291836.91536951</v>
      </c>
      <c r="AO61" s="3">
        <f t="shared" si="74"/>
        <v>-938873542.71053815</v>
      </c>
      <c r="AP61" s="3">
        <f t="shared" si="75"/>
        <v>-894209288.40698266</v>
      </c>
      <c r="AQ61" s="3">
        <f t="shared" si="76"/>
        <v>-850535719.05097461</v>
      </c>
      <c r="AR61" s="3">
        <f t="shared" si="77"/>
        <v>-808077155.03549755</v>
      </c>
      <c r="AS61" s="3">
        <f t="shared" si="78"/>
        <v>-767042849.88903463</v>
      </c>
      <c r="AT61" s="3">
        <f t="shared" si="79"/>
        <v>-727624463.51336551</v>
      </c>
      <c r="AU61" s="3">
        <f t="shared" si="80"/>
        <v>-689993783.90351915</v>
      </c>
      <c r="AV61" s="3">
        <f t="shared" si="81"/>
        <v>-654300725.46031284</v>
      </c>
      <c r="AW61" s="3">
        <f t="shared" si="82"/>
        <v>-620671626.69455934</v>
      </c>
      <c r="AX61" s="3">
        <f t="shared" si="83"/>
        <v>-589207864.58415508</v>
      </c>
      <c r="AY61" s="3">
        <f t="shared" si="84"/>
        <v>-559984797.24264014</v>
      </c>
      <c r="AZ61" s="3">
        <f t="shared" si="85"/>
        <v>-533051041.04541051</v>
      </c>
      <c r="BA61" s="3">
        <f t="shared" si="86"/>
        <v>-508428083.07949215</v>
      </c>
      <c r="BB61" s="3">
        <f t="shared" si="87"/>
        <v>-486110224.85845524</v>
      </c>
      <c r="BC61" s="3">
        <f t="shared" si="88"/>
        <v>-466064848.77701706</v>
      </c>
      <c r="BD61" s="3">
        <f t="shared" si="89"/>
        <v>-448232994.8462646</v>
      </c>
      <c r="BE61" s="3">
        <f t="shared" si="90"/>
        <v>-432530231.89937711</v>
      </c>
      <c r="BF61" s="3">
        <f t="shared" si="91"/>
        <v>-418847804.71114761</v>
      </c>
      <c r="BG61" s="3">
        <f t="shared" si="92"/>
        <v>-407054036.32815874</v>
      </c>
      <c r="BH61" s="3">
        <f t="shared" si="93"/>
        <v>-396995963.33166426</v>
      </c>
      <c r="BI61" s="3">
        <f t="shared" si="94"/>
        <v>-388501180.70256597</v>
      </c>
      <c r="BJ61" s="3">
        <f t="shared" si="66"/>
        <v>-381379872.36081272</v>
      </c>
      <c r="BK61" s="3">
        <f t="shared" si="67"/>
        <v>-375427003.23093897</v>
      </c>
      <c r="BL61" s="3">
        <f t="shared" si="68"/>
        <v>-370424648.75451559</v>
      </c>
      <c r="BM61" s="3">
        <f t="shared" si="69"/>
        <v>-366144438.0394603</v>
      </c>
      <c r="BN61" s="3">
        <f t="shared" si="70"/>
        <v>-362350087.21810418</v>
      </c>
      <c r="BO61" s="3">
        <f t="shared" si="71"/>
        <v>-358800000</v>
      </c>
      <c r="BQ61" s="31"/>
      <c r="BR61" s="1">
        <v>0</v>
      </c>
      <c r="BS61" s="1">
        <f t="shared" si="35"/>
        <v>0.3415922014622258</v>
      </c>
      <c r="BT61" s="1">
        <f t="shared" si="98"/>
        <v>0.3867162803971414</v>
      </c>
      <c r="BU61" s="1">
        <f t="shared" si="98"/>
        <v>0.39358441341045353</v>
      </c>
      <c r="BV61" s="1">
        <f t="shared" si="98"/>
        <v>0.39465123071155611</v>
      </c>
      <c r="BW61" s="1">
        <f t="shared" si="98"/>
        <v>0.39481745705771337</v>
      </c>
      <c r="BX61" s="1">
        <f t="shared" si="98"/>
        <v>0.39484337025824801</v>
      </c>
      <c r="BY61" s="1">
        <f t="shared" si="98"/>
        <v>0.39484741020089792</v>
      </c>
      <c r="BZ61" s="1">
        <f t="shared" si="98"/>
        <v>0.39484804004704999</v>
      </c>
      <c r="CA61" s="1">
        <f t="shared" si="98"/>
        <v>0.39484813824322279</v>
      </c>
      <c r="CB61" s="1">
        <f t="shared" si="98"/>
        <v>0.39484815355250286</v>
      </c>
      <c r="CC61" s="1">
        <f t="shared" si="98"/>
        <v>0.39484815593929717</v>
      </c>
      <c r="CD61" s="1">
        <f t="shared" si="98"/>
        <v>0.39484815631141046</v>
      </c>
      <c r="CE61" s="1">
        <f t="shared" si="98"/>
        <v>0.39484815636942483</v>
      </c>
      <c r="CF61" s="1">
        <f t="shared" si="98"/>
        <v>0.39484815637846954</v>
      </c>
      <c r="CG61" s="1">
        <f t="shared" si="98"/>
        <v>0.39484815637987963</v>
      </c>
      <c r="CH61" s="1">
        <f t="shared" si="98"/>
        <v>0.39484815638009951</v>
      </c>
      <c r="CI61" s="1">
        <f t="shared" si="98"/>
        <v>0.39484815638013382</v>
      </c>
      <c r="CJ61" s="1">
        <f t="shared" si="98"/>
        <v>0.39484815638013915</v>
      </c>
      <c r="CK61" s="1">
        <f t="shared" si="98"/>
        <v>0.39484815638013998</v>
      </c>
      <c r="CL61" s="1">
        <f t="shared" si="98"/>
        <v>0.39484815638014015</v>
      </c>
      <c r="CM61" s="1">
        <f t="shared" si="98"/>
        <v>0.39484815638014015</v>
      </c>
      <c r="CN61" s="1">
        <f t="shared" si="98"/>
        <v>0.39484815638014015</v>
      </c>
      <c r="CO61" s="1">
        <f t="shared" si="98"/>
        <v>0.39484815638014015</v>
      </c>
      <c r="CP61" s="1">
        <f t="shared" si="98"/>
        <v>0.39484815638014015</v>
      </c>
      <c r="CQ61" s="1">
        <f t="shared" si="98"/>
        <v>0.39484815638014015</v>
      </c>
      <c r="CR61" s="1">
        <f t="shared" si="98"/>
        <v>0.39484815638014015</v>
      </c>
      <c r="CS61" s="1">
        <f t="shared" si="98"/>
        <v>0.39484815638014015</v>
      </c>
      <c r="CT61" s="1">
        <f t="shared" si="98"/>
        <v>0.39484815638014015</v>
      </c>
      <c r="CU61" s="1">
        <f t="shared" si="98"/>
        <v>0.39484815638014015</v>
      </c>
      <c r="CW61" s="31"/>
      <c r="CX61" s="16">
        <f t="shared" si="36"/>
        <v>300</v>
      </c>
      <c r="CY61">
        <f t="shared" si="37"/>
        <v>193.44454151540529</v>
      </c>
      <c r="CZ61">
        <f t="shared" si="38"/>
        <v>173.20077052461775</v>
      </c>
      <c r="DA61">
        <f t="shared" si="39"/>
        <v>163.68843106055775</v>
      </c>
      <c r="DB61">
        <f t="shared" si="40"/>
        <v>155.82167714194904</v>
      </c>
      <c r="DC61">
        <f t="shared" si="41"/>
        <v>148.32418654793494</v>
      </c>
      <c r="DD61">
        <f t="shared" si="42"/>
        <v>141.04011181826999</v>
      </c>
      <c r="DE61">
        <f t="shared" si="43"/>
        <v>133.97730375540289</v>
      </c>
      <c r="DF61">
        <f t="shared" si="44"/>
        <v>127.16555025152195</v>
      </c>
      <c r="DG61">
        <f t="shared" si="45"/>
        <v>120.6352034387297</v>
      </c>
      <c r="DH61">
        <f t="shared" si="46"/>
        <v>114.41370538840877</v>
      </c>
      <c r="DI61">
        <f t="shared" si="47"/>
        <v>108.52480945516899</v>
      </c>
      <c r="DJ61">
        <f t="shared" si="48"/>
        <v>102.98824506412041</v>
      </c>
      <c r="DK61">
        <f t="shared" si="49"/>
        <v>97.819494265442017</v>
      </c>
      <c r="DL61">
        <f t="shared" si="50"/>
        <v>93.02963221709885</v>
      </c>
      <c r="DM61">
        <f t="shared" si="51"/>
        <v>88.625225012625947</v>
      </c>
      <c r="DN61">
        <f t="shared" si="52"/>
        <v>84.608283648313645</v>
      </c>
      <c r="DO61">
        <f t="shared" si="53"/>
        <v>80.97627305093728</v>
      </c>
      <c r="DP61">
        <f t="shared" si="54"/>
        <v>77.722174507935733</v>
      </c>
      <c r="DQ61">
        <f t="shared" si="55"/>
        <v>74.834599237527385</v>
      </c>
      <c r="DR61">
        <f t="shared" si="56"/>
        <v>72.297950312292215</v>
      </c>
      <c r="DS61">
        <f t="shared" si="57"/>
        <v>70.092629723050663</v>
      </c>
      <c r="DT61">
        <f t="shared" si="58"/>
        <v>68.195287040548607</v>
      </c>
      <c r="DU61">
        <f t="shared" si="59"/>
        <v>66.579105894969487</v>
      </c>
      <c r="DV61">
        <f t="shared" si="60"/>
        <v>65.214124338581456</v>
      </c>
      <c r="DW61">
        <f t="shared" si="61"/>
        <v>64.067585073222389</v>
      </c>
      <c r="DX61">
        <f t="shared" si="62"/>
        <v>63.10431149836235</v>
      </c>
      <c r="DY61">
        <f t="shared" si="63"/>
        <v>62.287105552704574</v>
      </c>
      <c r="DZ61">
        <f t="shared" si="64"/>
        <v>61.577163368070174</v>
      </c>
      <c r="EA61" s="16">
        <f t="shared" si="96"/>
        <v>24.313619224514202</v>
      </c>
    </row>
    <row r="62" spans="5:131" x14ac:dyDescent="0.3">
      <c r="E62" s="33"/>
      <c r="F62" s="17">
        <f t="shared" si="97"/>
        <v>300</v>
      </c>
      <c r="G62" s="17">
        <f t="shared" si="97"/>
        <v>287.20458331783192</v>
      </c>
      <c r="H62" s="15">
        <f t="shared" si="8"/>
        <v>274.47945650127747</v>
      </c>
      <c r="I62" s="15">
        <f t="shared" si="9"/>
        <v>261.89403216396983</v>
      </c>
      <c r="J62" s="15">
        <f t="shared" si="10"/>
        <v>249.51598121594654</v>
      </c>
      <c r="K62" s="15">
        <f t="shared" si="11"/>
        <v>237.41039374200528</v>
      </c>
      <c r="L62" s="15">
        <f t="shared" si="12"/>
        <v>225.63897720725134</v>
      </c>
      <c r="M62" s="15">
        <f t="shared" si="13"/>
        <v>214.25930321091448</v>
      </c>
      <c r="N62" s="15">
        <f t="shared" si="14"/>
        <v>203.32411301536507</v>
      </c>
      <c r="O62" s="15">
        <f t="shared" si="15"/>
        <v>192.8806908976124</v>
      </c>
      <c r="P62" s="15">
        <f t="shared" si="16"/>
        <v>182.97031304318858</v>
      </c>
      <c r="Q62" s="15">
        <f t="shared" si="17"/>
        <v>173.62777826859929</v>
      </c>
      <c r="R62" s="15">
        <f t="shared" si="18"/>
        <v>164.88102536165582</v>
      </c>
      <c r="S62" s="15">
        <f t="shared" si="19"/>
        <v>156.75084031219725</v>
      </c>
      <c r="T62" s="17">
        <f t="shared" si="19"/>
        <v>149.25065521040028</v>
      </c>
      <c r="U62" s="15">
        <f t="shared" si="20"/>
        <v>142.3864391541251</v>
      </c>
      <c r="V62" s="15">
        <f t="shared" si="21"/>
        <v>136.15668016384507</v>
      </c>
      <c r="W62" s="15">
        <f t="shared" si="22"/>
        <v>130.55245588106155</v>
      </c>
      <c r="X62" s="15">
        <f t="shared" si="23"/>
        <v>125.55758974443728</v>
      </c>
      <c r="Y62" s="15">
        <f t="shared" si="24"/>
        <v>121.14888841078472</v>
      </c>
      <c r="Z62" s="15">
        <f t="shared" si="25"/>
        <v>117.2964554218869</v>
      </c>
      <c r="AA62" s="15">
        <f t="shared" si="26"/>
        <v>113.96407551228972</v>
      </c>
      <c r="AB62" s="15">
        <f t="shared" si="27"/>
        <v>111.10966350062377</v>
      </c>
      <c r="AC62" s="15">
        <f t="shared" si="28"/>
        <v>108.68577139501525</v>
      </c>
      <c r="AD62" s="15">
        <f t="shared" si="29"/>
        <v>106.64014715446092</v>
      </c>
      <c r="AE62" s="15">
        <f t="shared" si="30"/>
        <v>104.91633846201009</v>
      </c>
      <c r="AF62" s="15">
        <f t="shared" si="31"/>
        <v>103.45433485945046</v>
      </c>
      <c r="AG62" s="15">
        <f t="shared" si="32"/>
        <v>102.19124164338535</v>
      </c>
      <c r="AH62" s="15">
        <f t="shared" si="33"/>
        <v>101.06197900608419</v>
      </c>
      <c r="AI62" s="17">
        <f t="shared" si="65"/>
        <v>100</v>
      </c>
      <c r="AK62" s="31"/>
      <c r="AL62" s="3">
        <f t="shared" si="34"/>
        <v>-1076400000</v>
      </c>
      <c r="AM62" s="3">
        <f t="shared" si="72"/>
        <v>-1030218121.5702678</v>
      </c>
      <c r="AN62" s="3">
        <f t="shared" si="73"/>
        <v>-984291836.91536975</v>
      </c>
      <c r="AO62" s="3">
        <f t="shared" si="74"/>
        <v>-938873542.71053815</v>
      </c>
      <c r="AP62" s="3">
        <f t="shared" si="75"/>
        <v>-894209288.40698266</v>
      </c>
      <c r="AQ62" s="3">
        <f t="shared" si="76"/>
        <v>-850535719.05097461</v>
      </c>
      <c r="AR62" s="3">
        <f t="shared" si="77"/>
        <v>-808077155.03549767</v>
      </c>
      <c r="AS62" s="3">
        <f t="shared" si="78"/>
        <v>-767042849.88903475</v>
      </c>
      <c r="AT62" s="3">
        <f t="shared" si="79"/>
        <v>-727624463.51336563</v>
      </c>
      <c r="AU62" s="3">
        <f t="shared" si="80"/>
        <v>-689993783.90351915</v>
      </c>
      <c r="AV62" s="3">
        <f t="shared" si="81"/>
        <v>-654300725.46031284</v>
      </c>
      <c r="AW62" s="3">
        <f t="shared" si="82"/>
        <v>-620671626.69455945</v>
      </c>
      <c r="AX62" s="3">
        <f t="shared" si="83"/>
        <v>-589207864.58415508</v>
      </c>
      <c r="AY62" s="3">
        <f t="shared" si="84"/>
        <v>-559984797.24264014</v>
      </c>
      <c r="AZ62" s="3">
        <f t="shared" si="85"/>
        <v>-533051041.04541057</v>
      </c>
      <c r="BA62" s="3">
        <f t="shared" si="86"/>
        <v>-508428083.07949215</v>
      </c>
      <c r="BB62" s="3">
        <f t="shared" si="87"/>
        <v>-486110224.85845524</v>
      </c>
      <c r="BC62" s="3">
        <f t="shared" si="88"/>
        <v>-466064848.77701706</v>
      </c>
      <c r="BD62" s="3">
        <f t="shared" si="89"/>
        <v>-448232994.84626466</v>
      </c>
      <c r="BE62" s="3">
        <f t="shared" si="90"/>
        <v>-432530231.89937729</v>
      </c>
      <c r="BF62" s="3">
        <f t="shared" si="91"/>
        <v>-418847804.71114767</v>
      </c>
      <c r="BG62" s="3">
        <f t="shared" si="92"/>
        <v>-407054036.3281588</v>
      </c>
      <c r="BH62" s="3">
        <f t="shared" si="93"/>
        <v>-396995963.33166426</v>
      </c>
      <c r="BI62" s="3">
        <f t="shared" si="94"/>
        <v>-388501180.70256603</v>
      </c>
      <c r="BJ62" s="3">
        <f t="shared" si="66"/>
        <v>-381379872.36081278</v>
      </c>
      <c r="BK62" s="3">
        <f t="shared" si="67"/>
        <v>-375427003.23093903</v>
      </c>
      <c r="BL62" s="3">
        <f t="shared" si="68"/>
        <v>-370424648.75451559</v>
      </c>
      <c r="BM62" s="3">
        <f t="shared" si="69"/>
        <v>-366144438.03946036</v>
      </c>
      <c r="BN62" s="3">
        <f t="shared" si="70"/>
        <v>-362350087.21810418</v>
      </c>
      <c r="BO62" s="3">
        <f t="shared" si="71"/>
        <v>-358800000</v>
      </c>
      <c r="BQ62" s="31"/>
      <c r="BR62" s="1">
        <v>0</v>
      </c>
      <c r="BS62" s="1">
        <f t="shared" si="35"/>
        <v>0.3415922014622258</v>
      </c>
      <c r="BT62" s="1">
        <f t="shared" si="98"/>
        <v>0.3867162803971414</v>
      </c>
      <c r="BU62" s="1">
        <f t="shared" si="98"/>
        <v>0.39358441341045353</v>
      </c>
      <c r="BV62" s="1">
        <f t="shared" si="98"/>
        <v>0.39465123071155611</v>
      </c>
      <c r="BW62" s="1">
        <f t="shared" si="98"/>
        <v>0.39481745705771337</v>
      </c>
      <c r="BX62" s="1">
        <f t="shared" si="98"/>
        <v>0.39484337025824801</v>
      </c>
      <c r="BY62" s="1">
        <f t="shared" si="98"/>
        <v>0.39484741020089792</v>
      </c>
      <c r="BZ62" s="1">
        <f t="shared" si="98"/>
        <v>0.39484804004704999</v>
      </c>
      <c r="CA62" s="1">
        <f t="shared" si="98"/>
        <v>0.39484813824322279</v>
      </c>
      <c r="CB62" s="1">
        <f t="shared" si="98"/>
        <v>0.39484815355250286</v>
      </c>
      <c r="CC62" s="1">
        <f t="shared" si="98"/>
        <v>0.39484815593929717</v>
      </c>
      <c r="CD62" s="1">
        <f t="shared" si="98"/>
        <v>0.39484815631141046</v>
      </c>
      <c r="CE62" s="1">
        <f t="shared" si="98"/>
        <v>0.39484815636942483</v>
      </c>
      <c r="CF62" s="1">
        <f t="shared" si="98"/>
        <v>0.39484815637846954</v>
      </c>
      <c r="CG62" s="1">
        <f t="shared" si="98"/>
        <v>0.39484815637987963</v>
      </c>
      <c r="CH62" s="1">
        <f t="shared" si="98"/>
        <v>0.39484815638009951</v>
      </c>
      <c r="CI62" s="1">
        <f t="shared" si="98"/>
        <v>0.39484815638013382</v>
      </c>
      <c r="CJ62" s="1">
        <f t="shared" si="98"/>
        <v>0.39484815638013915</v>
      </c>
      <c r="CK62" s="1">
        <f t="shared" si="98"/>
        <v>0.39484815638013998</v>
      </c>
      <c r="CL62" s="1">
        <f t="shared" si="98"/>
        <v>0.39484815638014015</v>
      </c>
      <c r="CM62" s="1">
        <f t="shared" si="98"/>
        <v>0.39484815638014015</v>
      </c>
      <c r="CN62" s="1">
        <f t="shared" si="98"/>
        <v>0.39484815638014015</v>
      </c>
      <c r="CO62" s="1">
        <f t="shared" si="98"/>
        <v>0.39484815638014015</v>
      </c>
      <c r="CP62" s="1">
        <f t="shared" si="98"/>
        <v>0.39484815638014015</v>
      </c>
      <c r="CQ62" s="1">
        <f t="shared" si="98"/>
        <v>0.39484815638014015</v>
      </c>
      <c r="CR62" s="1">
        <f t="shared" si="98"/>
        <v>0.39484815638014015</v>
      </c>
      <c r="CS62" s="1">
        <f t="shared" si="98"/>
        <v>0.39484815638014015</v>
      </c>
      <c r="CT62" s="1">
        <f t="shared" si="98"/>
        <v>0.39484815638014015</v>
      </c>
      <c r="CU62" s="1">
        <f t="shared" si="98"/>
        <v>0.39484815638014015</v>
      </c>
      <c r="CW62" s="31"/>
      <c r="CX62" s="16">
        <f t="shared" si="36"/>
        <v>300</v>
      </c>
      <c r="CY62">
        <f t="shared" si="37"/>
        <v>193.44454151540529</v>
      </c>
      <c r="CZ62">
        <f t="shared" si="38"/>
        <v>173.20077052461778</v>
      </c>
      <c r="DA62">
        <f t="shared" si="39"/>
        <v>163.68843106055775</v>
      </c>
      <c r="DB62">
        <f t="shared" si="40"/>
        <v>155.82167714194904</v>
      </c>
      <c r="DC62">
        <f t="shared" si="41"/>
        <v>148.32418654793494</v>
      </c>
      <c r="DD62">
        <f t="shared" si="42"/>
        <v>141.04011181826999</v>
      </c>
      <c r="DE62">
        <f t="shared" si="43"/>
        <v>133.97730375540289</v>
      </c>
      <c r="DF62">
        <f t="shared" si="44"/>
        <v>127.16555025152195</v>
      </c>
      <c r="DG62">
        <f t="shared" si="45"/>
        <v>120.6352034387297</v>
      </c>
      <c r="DH62">
        <f t="shared" si="46"/>
        <v>114.41370538840877</v>
      </c>
      <c r="DI62">
        <f t="shared" si="47"/>
        <v>108.52480945516899</v>
      </c>
      <c r="DJ62">
        <f t="shared" si="48"/>
        <v>102.98824506412041</v>
      </c>
      <c r="DK62">
        <f t="shared" si="49"/>
        <v>97.819494265442017</v>
      </c>
      <c r="DL62">
        <f t="shared" si="50"/>
        <v>93.02963221709885</v>
      </c>
      <c r="DM62">
        <f t="shared" si="51"/>
        <v>88.625225012625947</v>
      </c>
      <c r="DN62">
        <f t="shared" si="52"/>
        <v>84.608283648313645</v>
      </c>
      <c r="DO62">
        <f t="shared" si="53"/>
        <v>80.97627305093728</v>
      </c>
      <c r="DP62">
        <f t="shared" si="54"/>
        <v>77.722174507935733</v>
      </c>
      <c r="DQ62">
        <f t="shared" si="55"/>
        <v>74.834599237527399</v>
      </c>
      <c r="DR62">
        <f t="shared" si="56"/>
        <v>72.29795031229223</v>
      </c>
      <c r="DS62">
        <f t="shared" si="57"/>
        <v>70.092629723050678</v>
      </c>
      <c r="DT62">
        <f t="shared" si="58"/>
        <v>68.195287040548621</v>
      </c>
      <c r="DU62">
        <f t="shared" si="59"/>
        <v>66.579105894969501</v>
      </c>
      <c r="DV62">
        <f t="shared" si="60"/>
        <v>65.214124338581456</v>
      </c>
      <c r="DW62">
        <f t="shared" si="61"/>
        <v>64.067585073222403</v>
      </c>
      <c r="DX62">
        <f t="shared" si="62"/>
        <v>63.10431149836235</v>
      </c>
      <c r="DY62">
        <f t="shared" si="63"/>
        <v>62.287105552704574</v>
      </c>
      <c r="DZ62">
        <f t="shared" si="64"/>
        <v>61.577163368070174</v>
      </c>
      <c r="EA62" s="16">
        <f t="shared" si="96"/>
        <v>24.313619224514202</v>
      </c>
    </row>
    <row r="63" spans="5:131" x14ac:dyDescent="0.3">
      <c r="E63" s="33"/>
      <c r="F63" s="17">
        <f t="shared" si="97"/>
        <v>300</v>
      </c>
      <c r="G63" s="17">
        <f t="shared" si="97"/>
        <v>287.20458331783192</v>
      </c>
      <c r="H63" s="15">
        <f t="shared" si="8"/>
        <v>274.47945650127747</v>
      </c>
      <c r="I63" s="15">
        <f t="shared" si="9"/>
        <v>261.89403216396983</v>
      </c>
      <c r="J63" s="15">
        <f t="shared" si="10"/>
        <v>249.51598121594654</v>
      </c>
      <c r="K63" s="15">
        <f t="shared" si="11"/>
        <v>237.41039374200528</v>
      </c>
      <c r="L63" s="15">
        <f t="shared" si="12"/>
        <v>225.63897720725134</v>
      </c>
      <c r="M63" s="15">
        <f t="shared" si="13"/>
        <v>214.25930321091448</v>
      </c>
      <c r="N63" s="15">
        <f t="shared" si="14"/>
        <v>203.32411301536513</v>
      </c>
      <c r="O63" s="15">
        <f t="shared" si="15"/>
        <v>192.8806908976124</v>
      </c>
      <c r="P63" s="15">
        <f t="shared" si="16"/>
        <v>182.97031304318858</v>
      </c>
      <c r="Q63" s="15">
        <f t="shared" si="17"/>
        <v>173.62777826859929</v>
      </c>
      <c r="R63" s="15">
        <f t="shared" si="18"/>
        <v>164.88102536165582</v>
      </c>
      <c r="S63" s="15">
        <f t="shared" si="19"/>
        <v>156.75084031219725</v>
      </c>
      <c r="T63" s="17">
        <f t="shared" si="19"/>
        <v>149.25065521040028</v>
      </c>
      <c r="U63" s="15">
        <f t="shared" si="20"/>
        <v>142.3864391541251</v>
      </c>
      <c r="V63" s="15">
        <f t="shared" si="21"/>
        <v>136.15668016384507</v>
      </c>
      <c r="W63" s="15">
        <f t="shared" si="22"/>
        <v>130.55245588106155</v>
      </c>
      <c r="X63" s="15">
        <f t="shared" si="23"/>
        <v>125.55758974443728</v>
      </c>
      <c r="Y63" s="15">
        <f t="shared" si="24"/>
        <v>121.14888841078472</v>
      </c>
      <c r="Z63" s="15">
        <f t="shared" si="25"/>
        <v>117.2964554218869</v>
      </c>
      <c r="AA63" s="15">
        <f t="shared" si="26"/>
        <v>113.96407551228972</v>
      </c>
      <c r="AB63" s="15">
        <f t="shared" si="27"/>
        <v>111.10966350062377</v>
      </c>
      <c r="AC63" s="15">
        <f t="shared" si="28"/>
        <v>108.68577139501525</v>
      </c>
      <c r="AD63" s="15">
        <f t="shared" si="29"/>
        <v>106.64014715446095</v>
      </c>
      <c r="AE63" s="15">
        <f t="shared" si="30"/>
        <v>104.91633846201009</v>
      </c>
      <c r="AF63" s="15">
        <f t="shared" si="31"/>
        <v>103.45433485945046</v>
      </c>
      <c r="AG63" s="15">
        <f t="shared" si="32"/>
        <v>102.19124164338535</v>
      </c>
      <c r="AH63" s="15">
        <f t="shared" si="33"/>
        <v>101.06197900608419</v>
      </c>
      <c r="AI63" s="17">
        <f t="shared" si="65"/>
        <v>100</v>
      </c>
      <c r="AK63" s="31"/>
      <c r="AL63" s="3">
        <f t="shared" si="34"/>
        <v>-1076400000</v>
      </c>
      <c r="AM63" s="3">
        <f t="shared" si="72"/>
        <v>-1030218121.5702678</v>
      </c>
      <c r="AN63" s="3">
        <f t="shared" si="73"/>
        <v>-984291836.91536975</v>
      </c>
      <c r="AO63" s="3">
        <f t="shared" si="74"/>
        <v>-938873542.71053815</v>
      </c>
      <c r="AP63" s="3">
        <f t="shared" si="75"/>
        <v>-894209288.40698266</v>
      </c>
      <c r="AQ63" s="3">
        <f t="shared" si="76"/>
        <v>-850535719.05097461</v>
      </c>
      <c r="AR63" s="3">
        <f t="shared" si="77"/>
        <v>-808077155.03549755</v>
      </c>
      <c r="AS63" s="3">
        <f t="shared" si="78"/>
        <v>-767042849.88903475</v>
      </c>
      <c r="AT63" s="3">
        <f t="shared" si="79"/>
        <v>-727624463.51336575</v>
      </c>
      <c r="AU63" s="3">
        <f t="shared" si="80"/>
        <v>-689993783.90351915</v>
      </c>
      <c r="AV63" s="3">
        <f t="shared" si="81"/>
        <v>-654300725.46031284</v>
      </c>
      <c r="AW63" s="3">
        <f t="shared" si="82"/>
        <v>-620671626.69455945</v>
      </c>
      <c r="AX63" s="3">
        <f t="shared" si="83"/>
        <v>-589207864.58415508</v>
      </c>
      <c r="AY63" s="3">
        <f t="shared" si="84"/>
        <v>-559984797.24264014</v>
      </c>
      <c r="AZ63" s="3">
        <f t="shared" si="85"/>
        <v>-533051041.04541057</v>
      </c>
      <c r="BA63" s="3">
        <f t="shared" si="86"/>
        <v>-508428083.07949215</v>
      </c>
      <c r="BB63" s="3">
        <f t="shared" si="87"/>
        <v>-486110224.85845524</v>
      </c>
      <c r="BC63" s="3">
        <f t="shared" si="88"/>
        <v>-466064848.77701706</v>
      </c>
      <c r="BD63" s="3">
        <f t="shared" si="89"/>
        <v>-448232994.84626472</v>
      </c>
      <c r="BE63" s="3">
        <f t="shared" si="90"/>
        <v>-432530231.89937729</v>
      </c>
      <c r="BF63" s="3">
        <f t="shared" si="91"/>
        <v>-418847804.71114773</v>
      </c>
      <c r="BG63" s="3">
        <f t="shared" si="92"/>
        <v>-407054036.3281588</v>
      </c>
      <c r="BH63" s="3">
        <f t="shared" si="93"/>
        <v>-396995963.33166426</v>
      </c>
      <c r="BI63" s="3">
        <f t="shared" si="94"/>
        <v>-388501180.70256603</v>
      </c>
      <c r="BJ63" s="3">
        <f t="shared" si="66"/>
        <v>-381379872.36081284</v>
      </c>
      <c r="BK63" s="3">
        <f t="shared" si="67"/>
        <v>-375427003.23093903</v>
      </c>
      <c r="BL63" s="3">
        <f t="shared" si="68"/>
        <v>-370424648.75451559</v>
      </c>
      <c r="BM63" s="3">
        <f t="shared" si="69"/>
        <v>-366144438.03946036</v>
      </c>
      <c r="BN63" s="3">
        <f t="shared" si="70"/>
        <v>-362350087.21810418</v>
      </c>
      <c r="BO63" s="3">
        <f t="shared" si="71"/>
        <v>-358800000</v>
      </c>
      <c r="BQ63" s="31"/>
      <c r="BR63" s="1">
        <v>0</v>
      </c>
      <c r="BS63" s="1">
        <f t="shared" si="35"/>
        <v>0.3415922014622258</v>
      </c>
      <c r="BT63" s="1">
        <f t="shared" si="98"/>
        <v>0.3867162803971414</v>
      </c>
      <c r="BU63" s="1">
        <f t="shared" si="98"/>
        <v>0.39358441341045353</v>
      </c>
      <c r="BV63" s="1">
        <f t="shared" si="98"/>
        <v>0.39465123071155611</v>
      </c>
      <c r="BW63" s="1">
        <f t="shared" si="98"/>
        <v>0.39481745705771337</v>
      </c>
      <c r="BX63" s="1">
        <f t="shared" si="98"/>
        <v>0.39484337025824801</v>
      </c>
      <c r="BY63" s="1">
        <f t="shared" si="98"/>
        <v>0.39484741020089792</v>
      </c>
      <c r="BZ63" s="1">
        <f t="shared" si="98"/>
        <v>0.39484804004704999</v>
      </c>
      <c r="CA63" s="1">
        <f t="shared" si="98"/>
        <v>0.39484813824322279</v>
      </c>
      <c r="CB63" s="1">
        <f t="shared" si="98"/>
        <v>0.39484815355250286</v>
      </c>
      <c r="CC63" s="1">
        <f t="shared" si="98"/>
        <v>0.39484815593929717</v>
      </c>
      <c r="CD63" s="1">
        <f t="shared" si="98"/>
        <v>0.39484815631141046</v>
      </c>
      <c r="CE63" s="1">
        <f t="shared" si="98"/>
        <v>0.39484815636942483</v>
      </c>
      <c r="CF63" s="1">
        <f t="shared" si="98"/>
        <v>0.39484815637846954</v>
      </c>
      <c r="CG63" s="1">
        <f t="shared" si="98"/>
        <v>0.39484815637987963</v>
      </c>
      <c r="CH63" s="1">
        <f t="shared" si="98"/>
        <v>0.39484815638009951</v>
      </c>
      <c r="CI63" s="1">
        <f t="shared" si="98"/>
        <v>0.39484815638013382</v>
      </c>
      <c r="CJ63" s="1">
        <f t="shared" si="98"/>
        <v>0.39484815638013915</v>
      </c>
      <c r="CK63" s="1">
        <f t="shared" si="98"/>
        <v>0.39484815638013998</v>
      </c>
      <c r="CL63" s="1">
        <f t="shared" si="98"/>
        <v>0.39484815638014015</v>
      </c>
      <c r="CM63" s="1">
        <f t="shared" si="98"/>
        <v>0.39484815638014015</v>
      </c>
      <c r="CN63" s="1">
        <f t="shared" si="98"/>
        <v>0.39484815638014015</v>
      </c>
      <c r="CO63" s="1">
        <f t="shared" si="98"/>
        <v>0.39484815638014015</v>
      </c>
      <c r="CP63" s="1">
        <f t="shared" si="98"/>
        <v>0.39484815638014015</v>
      </c>
      <c r="CQ63" s="1">
        <f t="shared" si="98"/>
        <v>0.39484815638014015</v>
      </c>
      <c r="CR63" s="1">
        <f t="shared" ref="BT63:CU65" si="99">$C$17/($C$18-$C$19*CQ63)</f>
        <v>0.39484815638014015</v>
      </c>
      <c r="CS63" s="1">
        <f t="shared" si="99"/>
        <v>0.39484815638014015</v>
      </c>
      <c r="CT63" s="1">
        <f t="shared" si="99"/>
        <v>0.39484815638014015</v>
      </c>
      <c r="CU63" s="1">
        <f t="shared" si="99"/>
        <v>0.39484815638014015</v>
      </c>
      <c r="CW63" s="31"/>
      <c r="CX63" s="16">
        <f t="shared" si="36"/>
        <v>300</v>
      </c>
      <c r="CY63">
        <f t="shared" si="37"/>
        <v>193.44454151540529</v>
      </c>
      <c r="CZ63">
        <f t="shared" si="38"/>
        <v>173.20077052461778</v>
      </c>
      <c r="DA63">
        <f t="shared" si="39"/>
        <v>163.68843106055775</v>
      </c>
      <c r="DB63">
        <f t="shared" si="40"/>
        <v>155.82167714194904</v>
      </c>
      <c r="DC63">
        <f t="shared" si="41"/>
        <v>148.32418654793494</v>
      </c>
      <c r="DD63">
        <f t="shared" si="42"/>
        <v>141.04011181826999</v>
      </c>
      <c r="DE63">
        <f t="shared" si="43"/>
        <v>133.97730375540289</v>
      </c>
      <c r="DF63">
        <f t="shared" si="44"/>
        <v>127.16555025152198</v>
      </c>
      <c r="DG63">
        <f t="shared" si="45"/>
        <v>120.6352034387297</v>
      </c>
      <c r="DH63">
        <f t="shared" si="46"/>
        <v>114.41370538840877</v>
      </c>
      <c r="DI63">
        <f t="shared" si="47"/>
        <v>108.52480945516899</v>
      </c>
      <c r="DJ63">
        <f t="shared" si="48"/>
        <v>102.98824506412041</v>
      </c>
      <c r="DK63">
        <f t="shared" si="49"/>
        <v>97.819494265442017</v>
      </c>
      <c r="DL63">
        <f t="shared" si="50"/>
        <v>93.02963221709885</v>
      </c>
      <c r="DM63">
        <f t="shared" si="51"/>
        <v>88.625225012625947</v>
      </c>
      <c r="DN63">
        <f t="shared" si="52"/>
        <v>84.608283648313645</v>
      </c>
      <c r="DO63">
        <f t="shared" si="53"/>
        <v>80.97627305093728</v>
      </c>
      <c r="DP63">
        <f t="shared" si="54"/>
        <v>77.722174507935733</v>
      </c>
      <c r="DQ63">
        <f t="shared" si="55"/>
        <v>74.834599237527399</v>
      </c>
      <c r="DR63">
        <f t="shared" si="56"/>
        <v>72.29795031229223</v>
      </c>
      <c r="DS63">
        <f t="shared" si="57"/>
        <v>70.092629723050678</v>
      </c>
      <c r="DT63">
        <f t="shared" si="58"/>
        <v>68.195287040548621</v>
      </c>
      <c r="DU63">
        <f t="shared" si="59"/>
        <v>66.579105894969501</v>
      </c>
      <c r="DV63">
        <f t="shared" si="60"/>
        <v>65.21412433858147</v>
      </c>
      <c r="DW63">
        <f t="shared" si="61"/>
        <v>64.067585073222418</v>
      </c>
      <c r="DX63">
        <f t="shared" si="62"/>
        <v>63.10431149836235</v>
      </c>
      <c r="DY63">
        <f t="shared" si="63"/>
        <v>62.287105552704574</v>
      </c>
      <c r="DZ63">
        <f t="shared" si="64"/>
        <v>61.577163368070174</v>
      </c>
      <c r="EA63" s="16">
        <f t="shared" si="96"/>
        <v>24.313619224514202</v>
      </c>
    </row>
    <row r="64" spans="5:131" x14ac:dyDescent="0.3">
      <c r="E64" s="33"/>
      <c r="F64" s="17">
        <f t="shared" si="97"/>
        <v>300</v>
      </c>
      <c r="G64" s="17">
        <f t="shared" si="97"/>
        <v>287.20458331783192</v>
      </c>
      <c r="H64" s="15">
        <f t="shared" si="8"/>
        <v>274.47945650127747</v>
      </c>
      <c r="I64" s="15">
        <f t="shared" si="9"/>
        <v>261.89403216396983</v>
      </c>
      <c r="J64" s="15">
        <f t="shared" si="10"/>
        <v>249.51598121594654</v>
      </c>
      <c r="K64" s="15">
        <f t="shared" si="11"/>
        <v>237.41039374200528</v>
      </c>
      <c r="L64" s="15">
        <f t="shared" si="12"/>
        <v>225.63897720725134</v>
      </c>
      <c r="M64" s="15">
        <f t="shared" si="13"/>
        <v>214.25930321091448</v>
      </c>
      <c r="N64" s="15">
        <f t="shared" si="14"/>
        <v>203.32411301536513</v>
      </c>
      <c r="O64" s="15">
        <f t="shared" si="15"/>
        <v>192.8806908976124</v>
      </c>
      <c r="P64" s="15">
        <f t="shared" si="16"/>
        <v>182.97031304318858</v>
      </c>
      <c r="Q64" s="15">
        <f t="shared" si="17"/>
        <v>173.62777826859929</v>
      </c>
      <c r="R64" s="15">
        <f t="shared" si="18"/>
        <v>164.88102536165582</v>
      </c>
      <c r="S64" s="15">
        <f t="shared" si="19"/>
        <v>156.75084031219725</v>
      </c>
      <c r="T64" s="17">
        <f t="shared" si="19"/>
        <v>149.25065521040028</v>
      </c>
      <c r="U64" s="15">
        <f t="shared" si="20"/>
        <v>142.3864391541251</v>
      </c>
      <c r="V64" s="15">
        <f t="shared" si="21"/>
        <v>136.15668016384507</v>
      </c>
      <c r="W64" s="15">
        <f t="shared" si="22"/>
        <v>130.55245588106155</v>
      </c>
      <c r="X64" s="15">
        <f t="shared" si="23"/>
        <v>125.55758974443729</v>
      </c>
      <c r="Y64" s="15">
        <f t="shared" si="24"/>
        <v>121.14888841078474</v>
      </c>
      <c r="Z64" s="15">
        <f t="shared" si="25"/>
        <v>117.2964554218869</v>
      </c>
      <c r="AA64" s="15">
        <f t="shared" si="26"/>
        <v>113.96407551228972</v>
      </c>
      <c r="AB64" s="15">
        <f t="shared" si="27"/>
        <v>111.10966350062377</v>
      </c>
      <c r="AC64" s="15">
        <f t="shared" si="28"/>
        <v>108.68577139501525</v>
      </c>
      <c r="AD64" s="15">
        <f t="shared" si="29"/>
        <v>106.64014715446095</v>
      </c>
      <c r="AE64" s="15">
        <f t="shared" si="30"/>
        <v>104.91633846201009</v>
      </c>
      <c r="AF64" s="15">
        <f t="shared" si="31"/>
        <v>103.45433485945046</v>
      </c>
      <c r="AG64" s="15">
        <f t="shared" si="32"/>
        <v>102.19124164338535</v>
      </c>
      <c r="AH64" s="15">
        <f t="shared" si="33"/>
        <v>101.06197900608419</v>
      </c>
      <c r="AI64" s="17">
        <f t="shared" si="65"/>
        <v>100</v>
      </c>
      <c r="AK64" s="31"/>
      <c r="AL64" s="3">
        <f t="shared" si="34"/>
        <v>-1076400000</v>
      </c>
      <c r="AM64" s="3">
        <f t="shared" si="72"/>
        <v>-1030218121.5702678</v>
      </c>
      <c r="AN64" s="3">
        <f t="shared" si="73"/>
        <v>-984291836.91536975</v>
      </c>
      <c r="AO64" s="3">
        <f t="shared" si="74"/>
        <v>-938873542.71053815</v>
      </c>
      <c r="AP64" s="3">
        <f t="shared" si="75"/>
        <v>-894209288.40698278</v>
      </c>
      <c r="AQ64" s="3">
        <f t="shared" si="76"/>
        <v>-850535719.05097461</v>
      </c>
      <c r="AR64" s="3">
        <f t="shared" si="77"/>
        <v>-808077155.03549755</v>
      </c>
      <c r="AS64" s="3">
        <f t="shared" si="78"/>
        <v>-767042849.88903475</v>
      </c>
      <c r="AT64" s="3">
        <f t="shared" si="79"/>
        <v>-727624463.51336575</v>
      </c>
      <c r="AU64" s="3">
        <f t="shared" si="80"/>
        <v>-689993783.90351915</v>
      </c>
      <c r="AV64" s="3">
        <f t="shared" si="81"/>
        <v>-654300725.46031284</v>
      </c>
      <c r="AW64" s="3">
        <f t="shared" si="82"/>
        <v>-620671626.69455945</v>
      </c>
      <c r="AX64" s="3">
        <f t="shared" si="83"/>
        <v>-589207864.58415508</v>
      </c>
      <c r="AY64" s="3">
        <f t="shared" si="84"/>
        <v>-559984797.24264014</v>
      </c>
      <c r="AZ64" s="3">
        <f t="shared" si="85"/>
        <v>-533051041.04541057</v>
      </c>
      <c r="BA64" s="3">
        <f t="shared" si="86"/>
        <v>-508428083.07949215</v>
      </c>
      <c r="BB64" s="3">
        <f t="shared" si="87"/>
        <v>-486110224.85845524</v>
      </c>
      <c r="BC64" s="3">
        <f t="shared" si="88"/>
        <v>-466064848.77701706</v>
      </c>
      <c r="BD64" s="3">
        <f t="shared" si="89"/>
        <v>-448232994.84626472</v>
      </c>
      <c r="BE64" s="3">
        <f t="shared" si="90"/>
        <v>-432530231.89937735</v>
      </c>
      <c r="BF64" s="3">
        <f t="shared" si="91"/>
        <v>-418847804.71114773</v>
      </c>
      <c r="BG64" s="3">
        <f t="shared" si="92"/>
        <v>-407054036.3281588</v>
      </c>
      <c r="BH64" s="3">
        <f t="shared" si="93"/>
        <v>-396995963.33166426</v>
      </c>
      <c r="BI64" s="3">
        <f t="shared" si="94"/>
        <v>-388501180.70256603</v>
      </c>
      <c r="BJ64" s="3">
        <f t="shared" si="66"/>
        <v>-381379872.36081284</v>
      </c>
      <c r="BK64" s="3">
        <f t="shared" si="67"/>
        <v>-375427003.23093903</v>
      </c>
      <c r="BL64" s="3">
        <f t="shared" si="68"/>
        <v>-370424648.75451559</v>
      </c>
      <c r="BM64" s="3">
        <f t="shared" si="69"/>
        <v>-366144438.03946036</v>
      </c>
      <c r="BN64" s="3">
        <f t="shared" si="70"/>
        <v>-362350087.21810418</v>
      </c>
      <c r="BO64" s="3">
        <f t="shared" si="71"/>
        <v>-358800000</v>
      </c>
      <c r="BQ64" s="31"/>
      <c r="BR64" s="1">
        <v>0</v>
      </c>
      <c r="BS64" s="1">
        <f t="shared" si="35"/>
        <v>0.3415922014622258</v>
      </c>
      <c r="BT64" s="1">
        <f t="shared" si="99"/>
        <v>0.3867162803971414</v>
      </c>
      <c r="BU64" s="1">
        <f t="shared" si="99"/>
        <v>0.39358441341045353</v>
      </c>
      <c r="BV64" s="1">
        <f t="shared" si="99"/>
        <v>0.39465123071155611</v>
      </c>
      <c r="BW64" s="1">
        <f t="shared" si="99"/>
        <v>0.39481745705771337</v>
      </c>
      <c r="BX64" s="1">
        <f t="shared" si="99"/>
        <v>0.39484337025824801</v>
      </c>
      <c r="BY64" s="1">
        <f t="shared" si="99"/>
        <v>0.39484741020089792</v>
      </c>
      <c r="BZ64" s="1">
        <f t="shared" si="99"/>
        <v>0.39484804004704999</v>
      </c>
      <c r="CA64" s="1">
        <f t="shared" si="99"/>
        <v>0.39484813824322279</v>
      </c>
      <c r="CB64" s="1">
        <f t="shared" si="99"/>
        <v>0.39484815355250286</v>
      </c>
      <c r="CC64" s="1">
        <f t="shared" si="99"/>
        <v>0.39484815593929717</v>
      </c>
      <c r="CD64" s="1">
        <f t="shared" si="99"/>
        <v>0.39484815631141046</v>
      </c>
      <c r="CE64" s="1">
        <f t="shared" si="99"/>
        <v>0.39484815636942483</v>
      </c>
      <c r="CF64" s="1">
        <f t="shared" si="99"/>
        <v>0.39484815637846954</v>
      </c>
      <c r="CG64" s="1">
        <f t="shared" si="99"/>
        <v>0.39484815637987963</v>
      </c>
      <c r="CH64" s="1">
        <f t="shared" si="99"/>
        <v>0.39484815638009951</v>
      </c>
      <c r="CI64" s="1">
        <f t="shared" si="99"/>
        <v>0.39484815638013382</v>
      </c>
      <c r="CJ64" s="1">
        <f t="shared" si="99"/>
        <v>0.39484815638013915</v>
      </c>
      <c r="CK64" s="1">
        <f t="shared" si="99"/>
        <v>0.39484815638013998</v>
      </c>
      <c r="CL64" s="1">
        <f t="shared" si="99"/>
        <v>0.39484815638014015</v>
      </c>
      <c r="CM64" s="1">
        <f t="shared" si="99"/>
        <v>0.39484815638014015</v>
      </c>
      <c r="CN64" s="1">
        <f t="shared" si="99"/>
        <v>0.39484815638014015</v>
      </c>
      <c r="CO64" s="1">
        <f t="shared" si="99"/>
        <v>0.39484815638014015</v>
      </c>
      <c r="CP64" s="1">
        <f t="shared" si="99"/>
        <v>0.39484815638014015</v>
      </c>
      <c r="CQ64" s="1">
        <f t="shared" si="99"/>
        <v>0.39484815638014015</v>
      </c>
      <c r="CR64" s="1">
        <f t="shared" si="99"/>
        <v>0.39484815638014015</v>
      </c>
      <c r="CS64" s="1">
        <f t="shared" si="99"/>
        <v>0.39484815638014015</v>
      </c>
      <c r="CT64" s="1">
        <f t="shared" si="99"/>
        <v>0.39484815638014015</v>
      </c>
      <c r="CU64" s="1">
        <f t="shared" si="99"/>
        <v>0.39484815638014015</v>
      </c>
      <c r="CW64" s="31"/>
      <c r="CX64" s="16">
        <f t="shared" si="36"/>
        <v>300</v>
      </c>
      <c r="CY64">
        <f t="shared" si="37"/>
        <v>193.44454151540529</v>
      </c>
      <c r="CZ64">
        <f t="shared" si="38"/>
        <v>173.20077052461778</v>
      </c>
      <c r="DA64">
        <f t="shared" si="39"/>
        <v>163.68843106055775</v>
      </c>
      <c r="DB64">
        <f t="shared" si="40"/>
        <v>155.82167714194904</v>
      </c>
      <c r="DC64">
        <f t="shared" si="41"/>
        <v>148.32418654793494</v>
      </c>
      <c r="DD64">
        <f t="shared" si="42"/>
        <v>141.04011181826999</v>
      </c>
      <c r="DE64">
        <f t="shared" si="43"/>
        <v>133.97730375540289</v>
      </c>
      <c r="DF64">
        <f t="shared" si="44"/>
        <v>127.16555025152198</v>
      </c>
      <c r="DG64">
        <f t="shared" si="45"/>
        <v>120.6352034387297</v>
      </c>
      <c r="DH64">
        <f t="shared" si="46"/>
        <v>114.41370538840877</v>
      </c>
      <c r="DI64">
        <f t="shared" si="47"/>
        <v>108.52480945516899</v>
      </c>
      <c r="DJ64">
        <f t="shared" si="48"/>
        <v>102.98824506412041</v>
      </c>
      <c r="DK64">
        <f t="shared" si="49"/>
        <v>97.819494265442017</v>
      </c>
      <c r="DL64">
        <f t="shared" si="50"/>
        <v>93.02963221709885</v>
      </c>
      <c r="DM64">
        <f t="shared" si="51"/>
        <v>88.625225012625947</v>
      </c>
      <c r="DN64">
        <f t="shared" si="52"/>
        <v>84.608283648313645</v>
      </c>
      <c r="DO64">
        <f t="shared" si="53"/>
        <v>80.97627305093728</v>
      </c>
      <c r="DP64">
        <f t="shared" si="54"/>
        <v>77.722174507935733</v>
      </c>
      <c r="DQ64">
        <f t="shared" si="55"/>
        <v>74.834599237527414</v>
      </c>
      <c r="DR64">
        <f t="shared" si="56"/>
        <v>72.29795031229223</v>
      </c>
      <c r="DS64">
        <f t="shared" si="57"/>
        <v>70.092629723050678</v>
      </c>
      <c r="DT64">
        <f t="shared" si="58"/>
        <v>68.195287040548621</v>
      </c>
      <c r="DU64">
        <f t="shared" si="59"/>
        <v>66.579105894969501</v>
      </c>
      <c r="DV64">
        <f t="shared" si="60"/>
        <v>65.21412433858147</v>
      </c>
      <c r="DW64">
        <f t="shared" si="61"/>
        <v>64.067585073222418</v>
      </c>
      <c r="DX64">
        <f t="shared" si="62"/>
        <v>63.10431149836235</v>
      </c>
      <c r="DY64">
        <f t="shared" si="63"/>
        <v>62.287105552704574</v>
      </c>
      <c r="DZ64">
        <f t="shared" si="64"/>
        <v>61.577163368070174</v>
      </c>
      <c r="EA64" s="16">
        <f t="shared" si="96"/>
        <v>24.313619224514202</v>
      </c>
    </row>
    <row r="65" spans="5:131" x14ac:dyDescent="0.3">
      <c r="E65" s="33"/>
      <c r="F65" s="17">
        <f t="shared" si="97"/>
        <v>300</v>
      </c>
      <c r="G65" s="17">
        <f t="shared" si="97"/>
        <v>287.20458331783192</v>
      </c>
      <c r="H65" s="17">
        <f t="shared" si="8"/>
        <v>274.47945650127747</v>
      </c>
      <c r="I65" s="17">
        <f t="shared" si="9"/>
        <v>261.89403216396983</v>
      </c>
      <c r="J65" s="17">
        <f t="shared" si="10"/>
        <v>249.51598121594654</v>
      </c>
      <c r="K65" s="17">
        <f t="shared" si="11"/>
        <v>237.41039374200528</v>
      </c>
      <c r="L65" s="17">
        <f t="shared" si="12"/>
        <v>225.63897720725134</v>
      </c>
      <c r="M65" s="17">
        <f t="shared" si="13"/>
        <v>214.25930321091448</v>
      </c>
      <c r="N65" s="17">
        <f t="shared" si="14"/>
        <v>203.32411301536513</v>
      </c>
      <c r="O65" s="17">
        <f t="shared" si="15"/>
        <v>192.8806908976124</v>
      </c>
      <c r="P65" s="17">
        <f t="shared" si="16"/>
        <v>182.97031304318858</v>
      </c>
      <c r="Q65" s="17">
        <f t="shared" si="17"/>
        <v>173.62777826859929</v>
      </c>
      <c r="R65" s="17">
        <f t="shared" si="18"/>
        <v>164.88102536165582</v>
      </c>
      <c r="S65" s="17">
        <f t="shared" si="19"/>
        <v>156.75084031219725</v>
      </c>
      <c r="T65" s="17">
        <f t="shared" si="19"/>
        <v>149.25065521040028</v>
      </c>
      <c r="U65" s="17">
        <f t="shared" si="20"/>
        <v>142.3864391541251</v>
      </c>
      <c r="V65" s="17">
        <f t="shared" si="21"/>
        <v>136.15668016384507</v>
      </c>
      <c r="W65" s="17">
        <f t="shared" si="22"/>
        <v>130.55245588106155</v>
      </c>
      <c r="X65" s="17">
        <f t="shared" si="23"/>
        <v>125.55758974443729</v>
      </c>
      <c r="Y65" s="17">
        <f t="shared" si="24"/>
        <v>121.14888841078474</v>
      </c>
      <c r="Z65" s="17">
        <f t="shared" si="25"/>
        <v>117.2964554218869</v>
      </c>
      <c r="AA65" s="17">
        <f t="shared" si="26"/>
        <v>113.96407551228972</v>
      </c>
      <c r="AB65" s="17">
        <f t="shared" si="27"/>
        <v>111.10966350062377</v>
      </c>
      <c r="AC65" s="17">
        <f t="shared" si="28"/>
        <v>108.68577139501525</v>
      </c>
      <c r="AD65" s="17">
        <f t="shared" si="29"/>
        <v>106.64014715446095</v>
      </c>
      <c r="AE65" s="17">
        <f t="shared" si="30"/>
        <v>104.91633846201009</v>
      </c>
      <c r="AF65" s="17">
        <f t="shared" si="31"/>
        <v>103.45433485945046</v>
      </c>
      <c r="AG65" s="17">
        <f t="shared" si="32"/>
        <v>102.19124164338535</v>
      </c>
      <c r="AH65" s="17">
        <f t="shared" si="33"/>
        <v>101.06197900608419</v>
      </c>
      <c r="AI65" s="17">
        <f t="shared" si="65"/>
        <v>100</v>
      </c>
      <c r="AK65" s="31"/>
      <c r="AL65" s="3">
        <f t="shared" si="34"/>
        <v>-1076400000</v>
      </c>
      <c r="AM65" s="3">
        <f t="shared" si="72"/>
        <v>-1030218121.5702678</v>
      </c>
      <c r="AN65" s="3">
        <f t="shared" si="73"/>
        <v>-984291836.91536975</v>
      </c>
      <c r="AO65" s="3">
        <f t="shared" si="74"/>
        <v>-938873542.71053815</v>
      </c>
      <c r="AP65" s="3">
        <f t="shared" si="75"/>
        <v>-894209288.40698278</v>
      </c>
      <c r="AQ65" s="3">
        <f t="shared" si="76"/>
        <v>-850535719.05097461</v>
      </c>
      <c r="AR65" s="3">
        <f t="shared" si="77"/>
        <v>-808077155.03549755</v>
      </c>
      <c r="AS65" s="3">
        <f t="shared" si="78"/>
        <v>-767042849.88903475</v>
      </c>
      <c r="AT65" s="3">
        <f t="shared" si="79"/>
        <v>-727624463.51336575</v>
      </c>
      <c r="AU65" s="3">
        <f t="shared" si="80"/>
        <v>-689993783.90351915</v>
      </c>
      <c r="AV65" s="3">
        <f t="shared" si="81"/>
        <v>-654300725.46031284</v>
      </c>
      <c r="AW65" s="3">
        <f t="shared" si="82"/>
        <v>-620671626.69455945</v>
      </c>
      <c r="AX65" s="3">
        <f t="shared" si="83"/>
        <v>-589207864.58415508</v>
      </c>
      <c r="AY65" s="3">
        <f t="shared" si="84"/>
        <v>-559984797.24264014</v>
      </c>
      <c r="AZ65" s="3">
        <f t="shared" si="85"/>
        <v>-533051041.04541057</v>
      </c>
      <c r="BA65" s="3">
        <f t="shared" si="86"/>
        <v>-508428083.07949215</v>
      </c>
      <c r="BB65" s="3">
        <f t="shared" si="87"/>
        <v>-486110224.85845524</v>
      </c>
      <c r="BC65" s="3">
        <f t="shared" si="88"/>
        <v>-466064848.77701706</v>
      </c>
      <c r="BD65" s="3">
        <f t="shared" si="89"/>
        <v>-448232994.84626472</v>
      </c>
      <c r="BE65" s="3">
        <f t="shared" si="90"/>
        <v>-432530231.89937735</v>
      </c>
      <c r="BF65" s="3">
        <f t="shared" si="91"/>
        <v>-418847804.71114773</v>
      </c>
      <c r="BG65" s="3">
        <f t="shared" si="92"/>
        <v>-407054036.3281588</v>
      </c>
      <c r="BH65" s="3">
        <f t="shared" si="93"/>
        <v>-396995963.33166426</v>
      </c>
      <c r="BI65" s="3">
        <f t="shared" si="94"/>
        <v>-388501180.70256603</v>
      </c>
      <c r="BJ65" s="3">
        <f t="shared" si="66"/>
        <v>-381379872.36081284</v>
      </c>
      <c r="BK65" s="3">
        <f t="shared" si="67"/>
        <v>-375427003.23093903</v>
      </c>
      <c r="BL65" s="3">
        <f t="shared" si="68"/>
        <v>-370424648.75451559</v>
      </c>
      <c r="BM65" s="3">
        <f t="shared" si="69"/>
        <v>-366144438.03946036</v>
      </c>
      <c r="BN65" s="3">
        <f t="shared" si="70"/>
        <v>-362350087.21810418</v>
      </c>
      <c r="BO65" s="3">
        <f t="shared" si="71"/>
        <v>-358800000</v>
      </c>
      <c r="BQ65" s="31"/>
      <c r="BR65" s="1">
        <v>0</v>
      </c>
      <c r="BS65" s="1">
        <f t="shared" si="35"/>
        <v>0.3415922014622258</v>
      </c>
      <c r="BT65" s="1">
        <f t="shared" si="99"/>
        <v>0.3867162803971414</v>
      </c>
      <c r="BU65" s="1">
        <f t="shared" si="99"/>
        <v>0.39358441341045353</v>
      </c>
      <c r="BV65" s="1">
        <f t="shared" si="99"/>
        <v>0.39465123071155611</v>
      </c>
      <c r="BW65" s="1">
        <f t="shared" si="99"/>
        <v>0.39481745705771337</v>
      </c>
      <c r="BX65" s="1">
        <f t="shared" si="99"/>
        <v>0.39484337025824801</v>
      </c>
      <c r="BY65" s="1">
        <f t="shared" si="99"/>
        <v>0.39484741020089792</v>
      </c>
      <c r="BZ65" s="1">
        <f t="shared" si="99"/>
        <v>0.39484804004704999</v>
      </c>
      <c r="CA65" s="1">
        <f t="shared" si="99"/>
        <v>0.39484813824322279</v>
      </c>
      <c r="CB65" s="1">
        <f t="shared" si="99"/>
        <v>0.39484815355250286</v>
      </c>
      <c r="CC65" s="1">
        <f t="shared" si="99"/>
        <v>0.39484815593929717</v>
      </c>
      <c r="CD65" s="1">
        <f t="shared" si="99"/>
        <v>0.39484815631141046</v>
      </c>
      <c r="CE65" s="1">
        <f t="shared" si="99"/>
        <v>0.39484815636942483</v>
      </c>
      <c r="CF65" s="1">
        <f t="shared" si="99"/>
        <v>0.39484815637846954</v>
      </c>
      <c r="CG65" s="1">
        <f t="shared" si="99"/>
        <v>0.39484815637987963</v>
      </c>
      <c r="CH65" s="1">
        <f t="shared" si="99"/>
        <v>0.39484815638009951</v>
      </c>
      <c r="CI65" s="1">
        <f t="shared" si="99"/>
        <v>0.39484815638013382</v>
      </c>
      <c r="CJ65" s="1">
        <f t="shared" si="99"/>
        <v>0.39484815638013915</v>
      </c>
      <c r="CK65" s="1">
        <f t="shared" si="99"/>
        <v>0.39484815638013998</v>
      </c>
      <c r="CL65" s="1">
        <f t="shared" si="99"/>
        <v>0.39484815638014015</v>
      </c>
      <c r="CM65" s="1">
        <f t="shared" si="99"/>
        <v>0.39484815638014015</v>
      </c>
      <c r="CN65" s="1">
        <f t="shared" si="99"/>
        <v>0.39484815638014015</v>
      </c>
      <c r="CO65" s="1">
        <f t="shared" si="99"/>
        <v>0.39484815638014015</v>
      </c>
      <c r="CP65" s="1">
        <f t="shared" si="99"/>
        <v>0.39484815638014015</v>
      </c>
      <c r="CQ65" s="1">
        <f t="shared" si="99"/>
        <v>0.39484815638014015</v>
      </c>
      <c r="CR65" s="1">
        <f t="shared" si="99"/>
        <v>0.39484815638014015</v>
      </c>
      <c r="CS65" s="1">
        <f t="shared" si="99"/>
        <v>0.39484815638014015</v>
      </c>
      <c r="CT65" s="1">
        <f t="shared" si="99"/>
        <v>0.39484815638014015</v>
      </c>
      <c r="CU65" s="1">
        <f t="shared" si="99"/>
        <v>0.39484815638014015</v>
      </c>
      <c r="CW65" s="31"/>
      <c r="CX65" s="16">
        <f t="shared" si="36"/>
        <v>300</v>
      </c>
      <c r="CY65">
        <f t="shared" si="37"/>
        <v>193.44454151540529</v>
      </c>
      <c r="CZ65">
        <f t="shared" si="38"/>
        <v>173.20077052461778</v>
      </c>
      <c r="DA65">
        <f t="shared" si="39"/>
        <v>163.68843106055775</v>
      </c>
      <c r="DB65">
        <f t="shared" si="40"/>
        <v>155.82167714194904</v>
      </c>
      <c r="DC65">
        <f t="shared" si="41"/>
        <v>148.32418654793494</v>
      </c>
      <c r="DD65">
        <f t="shared" si="42"/>
        <v>141.04011181826999</v>
      </c>
      <c r="DE65">
        <f t="shared" si="43"/>
        <v>133.97730375540289</v>
      </c>
      <c r="DF65">
        <f t="shared" si="44"/>
        <v>127.16555025152198</v>
      </c>
      <c r="DG65">
        <f t="shared" si="45"/>
        <v>120.6352034387297</v>
      </c>
      <c r="DH65">
        <f t="shared" si="46"/>
        <v>114.41370538840877</v>
      </c>
      <c r="DI65">
        <f t="shared" si="47"/>
        <v>108.52480945516899</v>
      </c>
      <c r="DJ65">
        <f t="shared" si="48"/>
        <v>102.98824506412041</v>
      </c>
      <c r="DK65">
        <f t="shared" si="49"/>
        <v>97.819494265442017</v>
      </c>
      <c r="DL65">
        <f t="shared" si="50"/>
        <v>93.02963221709885</v>
      </c>
      <c r="DM65">
        <f t="shared" si="51"/>
        <v>88.625225012625947</v>
      </c>
      <c r="DN65">
        <f t="shared" si="52"/>
        <v>84.608283648313645</v>
      </c>
      <c r="DO65">
        <f t="shared" si="53"/>
        <v>80.97627305093728</v>
      </c>
      <c r="DP65">
        <f t="shared" si="54"/>
        <v>77.722174507935733</v>
      </c>
      <c r="DQ65">
        <f t="shared" si="55"/>
        <v>74.834599237527414</v>
      </c>
      <c r="DR65">
        <f t="shared" si="56"/>
        <v>72.29795031229223</v>
      </c>
      <c r="DS65">
        <f t="shared" si="57"/>
        <v>70.092629723050678</v>
      </c>
      <c r="DT65">
        <f t="shared" si="58"/>
        <v>68.195287040548621</v>
      </c>
      <c r="DU65">
        <f t="shared" si="59"/>
        <v>66.579105894969501</v>
      </c>
      <c r="DV65">
        <f t="shared" si="60"/>
        <v>65.21412433858147</v>
      </c>
      <c r="DW65">
        <f t="shared" si="61"/>
        <v>64.067585073222418</v>
      </c>
      <c r="DX65">
        <f t="shared" si="62"/>
        <v>63.10431149836235</v>
      </c>
      <c r="DY65">
        <f t="shared" si="63"/>
        <v>62.287105552704574</v>
      </c>
      <c r="DZ65">
        <f t="shared" si="64"/>
        <v>61.577163368070174</v>
      </c>
      <c r="EA65" s="16">
        <f t="shared" si="96"/>
        <v>24.313619224514202</v>
      </c>
    </row>
    <row r="66" spans="5:131" x14ac:dyDescent="0.3">
      <c r="E66" s="33"/>
      <c r="AK66" s="31"/>
    </row>
    <row r="68" spans="5:131" x14ac:dyDescent="0.3">
      <c r="E68" s="26" t="s">
        <v>18</v>
      </c>
      <c r="F68" s="17">
        <v>300</v>
      </c>
      <c r="G68" s="17">
        <f t="shared" ref="G68:AH68" si="100">CY69/(1-BS69)</f>
        <v>287.20458331783169</v>
      </c>
      <c r="H68" s="17">
        <f t="shared" si="100"/>
        <v>274.47945650127718</v>
      </c>
      <c r="I68" s="17">
        <f t="shared" si="100"/>
        <v>261.8940321639696</v>
      </c>
      <c r="J68" s="17">
        <f t="shared" si="100"/>
        <v>249.51598121594631</v>
      </c>
      <c r="K68" s="17">
        <f t="shared" si="100"/>
        <v>237.41039374200503</v>
      </c>
      <c r="L68" s="17">
        <f t="shared" si="100"/>
        <v>225.63897720725103</v>
      </c>
      <c r="M68" s="17">
        <f t="shared" si="100"/>
        <v>214.25930321091406</v>
      </c>
      <c r="N68" s="17">
        <f t="shared" si="100"/>
        <v>203.32411301536479</v>
      </c>
      <c r="O68" s="17">
        <f t="shared" si="100"/>
        <v>192.88069089761203</v>
      </c>
      <c r="P68" s="17">
        <f t="shared" si="100"/>
        <v>182.97031304318824</v>
      </c>
      <c r="Q68" s="17">
        <f t="shared" si="100"/>
        <v>173.62777826859889</v>
      </c>
      <c r="R68" s="17">
        <f t="shared" si="100"/>
        <v>164.88102536165539</v>
      </c>
      <c r="S68" s="17">
        <f t="shared" si="100"/>
        <v>156.75084031219683</v>
      </c>
      <c r="T68" s="17">
        <f t="shared" si="100"/>
        <v>149.25065521039988</v>
      </c>
      <c r="U68" s="17">
        <f t="shared" si="100"/>
        <v>142.38643915412473</v>
      </c>
      <c r="V68" s="17">
        <f t="shared" si="100"/>
        <v>136.1566801638447</v>
      </c>
      <c r="W68" s="17">
        <f t="shared" si="100"/>
        <v>130.55245588106118</v>
      </c>
      <c r="X68" s="17">
        <f t="shared" si="100"/>
        <v>125.55758974443694</v>
      </c>
      <c r="Y68" s="17">
        <f t="shared" si="100"/>
        <v>121.14888841078439</v>
      </c>
      <c r="Z68" s="17">
        <f t="shared" si="100"/>
        <v>117.29645542188662</v>
      </c>
      <c r="AA68" s="17">
        <f t="shared" si="100"/>
        <v>113.96407551228947</v>
      </c>
      <c r="AB68" s="17">
        <f t="shared" si="100"/>
        <v>111.1096635006235</v>
      </c>
      <c r="AC68" s="17">
        <f t="shared" si="100"/>
        <v>108.68577139501504</v>
      </c>
      <c r="AD68" s="17">
        <f t="shared" si="100"/>
        <v>106.64014715446076</v>
      </c>
      <c r="AE68" s="17">
        <f t="shared" si="100"/>
        <v>104.91633846200993</v>
      </c>
      <c r="AF68" s="17">
        <f t="shared" si="100"/>
        <v>103.4543348594503</v>
      </c>
      <c r="AG68" s="17">
        <f t="shared" si="100"/>
        <v>102.19124164338524</v>
      </c>
      <c r="AH68" s="17">
        <f t="shared" si="100"/>
        <v>101.06197900608413</v>
      </c>
      <c r="AI68" s="17">
        <v>100</v>
      </c>
      <c r="AK68" s="28" t="s">
        <v>16</v>
      </c>
      <c r="AL68" s="3">
        <f>-$C$11*$C$10*F36/$C$8</f>
        <v>-1076400000</v>
      </c>
      <c r="AM68" s="3">
        <f t="shared" ref="AM68:BO76" si="101">-$C$11*$C$10*G36/$C$8</f>
        <v>-1030490044.942862</v>
      </c>
      <c r="AN68" s="3">
        <f t="shared" si="101"/>
        <v>-984832289.92213857</v>
      </c>
      <c r="AO68" s="3">
        <f t="shared" si="101"/>
        <v>-939675787.39283109</v>
      </c>
      <c r="AP68" s="3">
        <f t="shared" si="101"/>
        <v>-895263340.57361758</v>
      </c>
      <c r="AQ68" s="3">
        <f t="shared" si="101"/>
        <v>-851828492.67233038</v>
      </c>
      <c r="AR68" s="3">
        <f t="shared" si="101"/>
        <v>-809592650.03222978</v>
      </c>
      <c r="AS68" s="3">
        <f t="shared" si="101"/>
        <v>-768762379.44617486</v>
      </c>
      <c r="AT68" s="3">
        <f t="shared" si="101"/>
        <v>-729526916.29718339</v>
      </c>
      <c r="AU68" s="3">
        <f t="shared" si="101"/>
        <v>-692055915.89656162</v>
      </c>
      <c r="AV68" s="3">
        <f t="shared" si="101"/>
        <v>-656497475.48948789</v>
      </c>
      <c r="AW68" s="3">
        <f t="shared" si="101"/>
        <v>-622976448.90257764</v>
      </c>
      <c r="AX68" s="3">
        <f t="shared" si="101"/>
        <v>-591593069.5478375</v>
      </c>
      <c r="AY68" s="3">
        <f t="shared" si="101"/>
        <v>-562421889.80269742</v>
      </c>
      <c r="AZ68" s="3">
        <f t="shared" si="101"/>
        <v>-535511033.7161141</v>
      </c>
      <c r="BA68" s="3">
        <f t="shared" si="101"/>
        <v>-510881740.39189667</v>
      </c>
      <c r="BB68" s="3">
        <f t="shared" si="101"/>
        <v>-488528133.9923839</v>
      </c>
      <c r="BC68" s="3">
        <f t="shared" si="101"/>
        <v>-468417059.25097501</v>
      </c>
      <c r="BD68" s="3">
        <f t="shared" si="101"/>
        <v>-450487582.80883878</v>
      </c>
      <c r="BE68" s="3">
        <f t="shared" si="101"/>
        <v>-434649162.97884148</v>
      </c>
      <c r="BF68" s="3">
        <f t="shared" si="101"/>
        <v>-420775982.43776566</v>
      </c>
      <c r="BG68" s="3">
        <f t="shared" si="101"/>
        <v>-408691123.68832207</v>
      </c>
      <c r="BH68" s="3">
        <f t="shared" si="101"/>
        <v>-398124609.93403673</v>
      </c>
      <c r="BI68" s="3">
        <f t="shared" si="101"/>
        <v>-388604878.99764824</v>
      </c>
      <c r="BJ68" s="3">
        <f t="shared" si="101"/>
        <v>-379181324.83910137</v>
      </c>
      <c r="BK68" s="3">
        <f t="shared" si="101"/>
        <v>-367718689.74484175</v>
      </c>
      <c r="BL68" s="3">
        <f t="shared" si="101"/>
        <v>-349106845.94766259</v>
      </c>
      <c r="BM68" s="3">
        <f t="shared" si="101"/>
        <v>-310723437.12153596</v>
      </c>
      <c r="BN68" s="3">
        <f t="shared" si="101"/>
        <v>-220938862.16463557</v>
      </c>
      <c r="BO68" s="3">
        <f t="shared" si="101"/>
        <v>0</v>
      </c>
      <c r="BQ68" s="29" t="s">
        <v>15</v>
      </c>
      <c r="BR68" s="3">
        <f t="shared" ref="BR68:BR95" si="102">$C$21/($C$22-$C$23*BR69)</f>
        <v>0.39484815638014015</v>
      </c>
      <c r="BS68" s="3">
        <f t="shared" ref="BS68:BS95" si="103">$C$21/($C$22-$C$23*BS69)</f>
        <v>0.39484815638014015</v>
      </c>
      <c r="BT68" s="3">
        <f t="shared" ref="BT68:BT95" si="104">$C$21/($C$22-$C$23*BT69)</f>
        <v>0.39484815638014015</v>
      </c>
      <c r="BU68" s="3">
        <f t="shared" ref="BU68:BU95" si="105">$C$21/($C$22-$C$23*BU69)</f>
        <v>0.39484815638014015</v>
      </c>
      <c r="BV68" s="3">
        <f t="shared" ref="BV68:BV95" si="106">$C$21/($C$22-$C$23*BV69)</f>
        <v>0.39484815638014015</v>
      </c>
      <c r="BW68" s="3">
        <f t="shared" ref="BW68:BW95" si="107">$C$21/($C$22-$C$23*BW69)</f>
        <v>0.39484815638014015</v>
      </c>
      <c r="BX68" s="3">
        <f t="shared" ref="BX68:BX95" si="108">$C$21/($C$22-$C$23*BX69)</f>
        <v>0.39484815638014015</v>
      </c>
      <c r="BY68" s="3">
        <f t="shared" ref="BY68:BY95" si="109">$C$21/($C$22-$C$23*BY69)</f>
        <v>0.39484815638014015</v>
      </c>
      <c r="BZ68" s="3">
        <f t="shared" ref="BZ68:BZ95" si="110">$C$21/($C$22-$C$23*BZ69)</f>
        <v>0.39484815638014015</v>
      </c>
      <c r="CA68" s="3">
        <f t="shared" ref="CA68:CA95" si="111">$C$21/($C$22-$C$23*CA69)</f>
        <v>0.39484815638014015</v>
      </c>
      <c r="CB68" s="3">
        <f t="shared" ref="CB68:CB95" si="112">$C$21/($C$22-$C$23*CB69)</f>
        <v>0.39484815638014015</v>
      </c>
      <c r="CC68" s="3">
        <f t="shared" ref="CC68:CC95" si="113">$C$21/($C$22-$C$23*CC69)</f>
        <v>0.39484815638014015</v>
      </c>
      <c r="CD68" s="3">
        <f t="shared" ref="CD68:CD95" si="114">$C$21/($C$22-$C$23*CD69)</f>
        <v>0.39484815638014015</v>
      </c>
      <c r="CE68" s="3">
        <f t="shared" ref="CE68:CE95" si="115">$C$21/($C$22-$C$23*CE69)</f>
        <v>0.39484815638014015</v>
      </c>
      <c r="CF68" s="3">
        <f t="shared" ref="CF68:CF95" si="116">$C$21/($C$22-$C$23*CF69)</f>
        <v>0.39484815638014015</v>
      </c>
      <c r="CG68" s="3">
        <f t="shared" ref="CG68:CG95" si="117">$C$21/($C$22-$C$23*CG69)</f>
        <v>0.39484815638014015</v>
      </c>
      <c r="CH68" s="3">
        <f t="shared" ref="CH68:CH95" si="118">$C$21/($C$22-$C$23*CH69)</f>
        <v>0.39484815638014015</v>
      </c>
      <c r="CI68" s="3">
        <f t="shared" ref="CI68:CI95" si="119">$C$21/($C$22-$C$23*CI69)</f>
        <v>0.39484815638014015</v>
      </c>
      <c r="CJ68" s="3">
        <f t="shared" ref="CJ68:CJ95" si="120">$C$21/($C$22-$C$23*CJ69)</f>
        <v>0.39484815638014015</v>
      </c>
      <c r="CK68" s="3">
        <f t="shared" ref="CK68:CK95" si="121">$C$21/($C$22-$C$23*CK69)</f>
        <v>0.39484815638014015</v>
      </c>
      <c r="CL68" s="3">
        <f t="shared" ref="CL68:CL95" si="122">$C$21/($C$22-$C$23*CL69)</f>
        <v>0.39484815638014015</v>
      </c>
      <c r="CM68" s="3">
        <f t="shared" ref="CM68:CM95" si="123">$C$21/($C$22-$C$23*CM69)</f>
        <v>0.39484815638014015</v>
      </c>
      <c r="CN68" s="3">
        <f t="shared" ref="CN68:CN95" si="124">$C$21/($C$22-$C$23*CN69)</f>
        <v>0.39484815638014015</v>
      </c>
      <c r="CO68" s="3">
        <f t="shared" ref="CO68:CO95" si="125">$C$21/($C$22-$C$23*CO69)</f>
        <v>0.39484815638014015</v>
      </c>
      <c r="CP68" s="3">
        <f t="shared" ref="CP68:CP95" si="126">$C$21/($C$22-$C$23*CP69)</f>
        <v>0.39484815638014015</v>
      </c>
      <c r="CQ68" s="3">
        <f t="shared" ref="CQ68:CQ95" si="127">$C$21/($C$22-$C$23*CQ69)</f>
        <v>0.39484815638014015</v>
      </c>
      <c r="CR68" s="3">
        <f t="shared" ref="CR68:CR95" si="128">$C$21/($C$22-$C$23*CR69)</f>
        <v>0.39484815638014015</v>
      </c>
      <c r="CS68" s="3">
        <f t="shared" ref="CS68:CS95" si="129">$C$21/($C$22-$C$23*CS69)</f>
        <v>0.39484815638014015</v>
      </c>
      <c r="CT68" s="3">
        <f t="shared" ref="CT68:CT95" si="130">$C$21/($C$22-$C$23*CT69)</f>
        <v>0.39484815638014015</v>
      </c>
      <c r="CU68" s="3">
        <f t="shared" ref="CU68:CU95" si="131">$C$21/($C$22-$C$23*CU69)</f>
        <v>0.39484815638014015</v>
      </c>
      <c r="CW68" s="29" t="s">
        <v>17</v>
      </c>
      <c r="CX68" s="3">
        <f t="shared" ref="CX68:CX95" si="132">(CX69*$C$23-AL68)/($C$22-$C$23*BR69)</f>
        <v>181.54555308595795</v>
      </c>
      <c r="CY68" s="3">
        <f t="shared" ref="CY68:CY95" si="133">(CY69*$C$23-AM68)/($C$22-$C$23*BS69)</f>
        <v>173.80238309070455</v>
      </c>
      <c r="CZ68" s="3">
        <f t="shared" ref="CZ68:CZ95" si="134">(CZ69*$C$23-AN68)/($C$22-$C$23*BT69)</f>
        <v>166.10174913707144</v>
      </c>
      <c r="DA68" s="3">
        <f t="shared" ref="DA68:DA95" si="135">(DA69*$C$23-AO68)/($C$22-$C$23*BU69)</f>
        <v>158.48565639589216</v>
      </c>
      <c r="DB68" s="3">
        <f t="shared" ref="DB68:DB95" si="136">(DB69*$C$23-AP68)/($C$22-$C$23*BV69)</f>
        <v>150.99505604246815</v>
      </c>
      <c r="DC68" s="3">
        <f t="shared" ref="DC68:DC95" si="137">(DC69*$C$23-AQ68)/($C$22-$C$23*BW69)</f>
        <v>143.66933745994007</v>
      </c>
      <c r="DD68" s="3">
        <f t="shared" ref="DD68:DD95" si="138">(DD69*$C$23-AR68)/($C$22-$C$23*BX69)</f>
        <v>136.54584303034187</v>
      </c>
      <c r="DE68" s="3">
        <f t="shared" ref="DE68:DE95" si="139">(DE69*$C$23-AS68)/($C$22-$C$23*BY69)</f>
        <v>129.65941230235276</v>
      </c>
      <c r="DF68" s="3">
        <f t="shared" ref="DF68:DF95" si="140">(DF69*$C$23-AT68)/($C$22-$C$23*BZ69)</f>
        <v>123.04196172094434</v>
      </c>
      <c r="DG68" s="3">
        <f t="shared" ref="DG68:DG95" si="141">(DG69*$C$23-AU68)/($C$22-$C$23*CA69)</f>
        <v>116.72210538466958</v>
      </c>
      <c r="DH68" s="3">
        <f t="shared" ref="DH68:DH95" si="142">(DH69*$C$23-AV68)/($C$22-$C$23*CB69)</f>
        <v>110.72482147892204</v>
      </c>
      <c r="DI68" s="3">
        <f t="shared" ref="DI68:DI95" si="143">(DI69*$C$23-AW68)/($C$22-$C$23*CC69)</f>
        <v>105.07116813003041</v>
      </c>
      <c r="DJ68" s="3">
        <f t="shared" ref="DJ68:DJ95" si="144">(DJ69*$C$23-AX68)/($C$22-$C$23*CD69)</f>
        <v>99.77805142845304</v>
      </c>
      <c r="DK68" s="3">
        <f t="shared" ref="DK68:DK95" si="145">(DK69*$C$23-AY68)/($C$22-$C$23*CE69)</f>
        <v>94.858047221542591</v>
      </c>
      <c r="DL68" s="3">
        <f t="shared" ref="DL68:DL95" si="146">(DL69*$C$23-AZ68)/($C$22-$C$23*CF69)</f>
        <v>90.319276789232433</v>
      </c>
      <c r="DM68" s="3">
        <f t="shared" ref="DM68:DM95" si="147">(DM69*$C$23-BA68)/($C$22-$C$23*CG69)</f>
        <v>86.165334172579392</v>
      </c>
      <c r="DN68" s="3">
        <f t="shared" ref="DN68:DN95" si="148">(DN69*$C$23-BB68)/($C$22-$C$23*CH69)</f>
        <v>82.395258377916164</v>
      </c>
      <c r="DO68" s="3">
        <f t="shared" ref="DO68:DO95" si="149">(DO69*$C$23-BC68)/($C$22-$C$23*CI69)</f>
        <v>79.003533481356939</v>
      </c>
      <c r="DP68" s="3">
        <f t="shared" ref="DP68:DP95" si="150">(DP69*$C$23-BD68)/($C$22-$C$23*CJ69)</f>
        <v>75.980075050001275</v>
      </c>
      <c r="DQ68" s="3">
        <f t="shared" ref="DQ68:DQ95" si="151">(DQ69*$C$23-BE68)/($C$22-$C$23*CK69)</f>
        <v>73.310100069231694</v>
      </c>
      <c r="DR68" s="3">
        <f t="shared" ref="DR68:DR95" si="152">(DR69*$C$23-BF68)/($C$22-$C$23*CL69)</f>
        <v>70.973623458200578</v>
      </c>
      <c r="DS68" s="3">
        <f t="shared" ref="DS68:DS95" si="153">(DS69*$C$23-BG68)/($C$22-$C$23*CM69)</f>
        <v>68.943934768107823</v>
      </c>
      <c r="DT68" s="3">
        <f t="shared" ref="DT68:DT95" si="154">(DT69*$C$23-BH68)/($C$22-$C$23*CN69)</f>
        <v>67.183422889027</v>
      </c>
      <c r="DU68" s="3">
        <f t="shared" ref="DU68:DU95" si="155">(DU69*$C$23-BI68)/($C$22-$C$23*CO69)</f>
        <v>65.632620518820318</v>
      </c>
      <c r="DV68" s="3">
        <f t="shared" ref="DV68:DV95" si="156">(DV69*$C$23-BJ68)/($C$22-$C$23*CP69)</f>
        <v>64.182018911390287</v>
      </c>
      <c r="DW68" s="3">
        <f t="shared" ref="DW68:DW95" si="157">(DW69*$C$23-BK68)/($C$22-$C$23*CQ69)</f>
        <v>62.600194374584269</v>
      </c>
      <c r="DX68" s="3">
        <f t="shared" ref="DX68:DX95" si="158">(DX69*$C$23-BL68)/($C$22-$C$23*CR69)</f>
        <v>60.351243297460535</v>
      </c>
      <c r="DY68" s="3">
        <f t="shared" ref="DY68:DY95" si="159">(DY69*$C$23-BM68)/($C$22-$C$23*CS69)</f>
        <v>56.131838266776029</v>
      </c>
      <c r="DZ68" s="3">
        <f t="shared" ref="DZ68:DZ95" si="160">(DZ69*$C$23-BN68)/($C$22-$C$23*CT69)</f>
        <v>46.698157785141717</v>
      </c>
      <c r="EA68" s="3">
        <f t="shared" ref="EA68:EA95" si="161">(EA69*$C$23-BO68)/($C$22-$C$23*CU69)</f>
        <v>23.89430897833445</v>
      </c>
    </row>
    <row r="69" spans="5:131" x14ac:dyDescent="0.3">
      <c r="E69" s="27"/>
      <c r="F69" s="17">
        <v>300</v>
      </c>
      <c r="G69" s="15">
        <f>BS69*G68+CY69</f>
        <v>287.20458331783169</v>
      </c>
      <c r="H69" s="15">
        <f t="shared" ref="H69:AH69" si="162">BT69*H68+CZ69</f>
        <v>274.47945650127718</v>
      </c>
      <c r="I69" s="15">
        <f t="shared" si="162"/>
        <v>261.8940321639696</v>
      </c>
      <c r="J69" s="15">
        <f t="shared" si="162"/>
        <v>249.51598121594628</v>
      </c>
      <c r="K69" s="15">
        <f t="shared" si="162"/>
        <v>237.41039374200503</v>
      </c>
      <c r="L69" s="15">
        <f t="shared" si="162"/>
        <v>225.63897720725103</v>
      </c>
      <c r="M69" s="15">
        <f t="shared" si="162"/>
        <v>214.25930321091406</v>
      </c>
      <c r="N69" s="15">
        <f t="shared" si="162"/>
        <v>203.32411301536479</v>
      </c>
      <c r="O69" s="15">
        <f t="shared" si="162"/>
        <v>192.88069089761203</v>
      </c>
      <c r="P69" s="15">
        <f t="shared" si="162"/>
        <v>182.97031304318824</v>
      </c>
      <c r="Q69" s="15">
        <f t="shared" si="162"/>
        <v>173.62777826859889</v>
      </c>
      <c r="R69" s="15">
        <f t="shared" si="162"/>
        <v>164.88102536165539</v>
      </c>
      <c r="S69" s="15">
        <f t="shared" si="162"/>
        <v>156.75084031219683</v>
      </c>
      <c r="T69" s="15">
        <f t="shared" si="162"/>
        <v>149.25065521039988</v>
      </c>
      <c r="U69" s="15">
        <f t="shared" si="162"/>
        <v>142.38643915412473</v>
      </c>
      <c r="V69" s="15">
        <f t="shared" si="162"/>
        <v>136.1566801638447</v>
      </c>
      <c r="W69" s="15">
        <f t="shared" si="162"/>
        <v>130.55245588106118</v>
      </c>
      <c r="X69" s="15">
        <f t="shared" si="162"/>
        <v>125.55758974443694</v>
      </c>
      <c r="Y69" s="15">
        <f t="shared" si="162"/>
        <v>121.14888841078439</v>
      </c>
      <c r="Z69" s="15">
        <f t="shared" si="162"/>
        <v>117.29645542188662</v>
      </c>
      <c r="AA69" s="15">
        <f t="shared" si="162"/>
        <v>113.96407551228947</v>
      </c>
      <c r="AB69" s="15">
        <f t="shared" si="162"/>
        <v>111.1096635006235</v>
      </c>
      <c r="AC69" s="15">
        <f t="shared" si="162"/>
        <v>108.68577139501504</v>
      </c>
      <c r="AD69" s="15">
        <f t="shared" si="162"/>
        <v>106.64014715446076</v>
      </c>
      <c r="AE69" s="15">
        <f t="shared" si="162"/>
        <v>104.91633846200993</v>
      </c>
      <c r="AF69" s="15">
        <f t="shared" si="162"/>
        <v>103.4543348594503</v>
      </c>
      <c r="AG69" s="15">
        <f t="shared" si="162"/>
        <v>102.19124164338524</v>
      </c>
      <c r="AH69" s="15">
        <f t="shared" si="162"/>
        <v>101.06197900608413</v>
      </c>
      <c r="AI69" s="17">
        <v>100</v>
      </c>
      <c r="AK69" s="28"/>
      <c r="AL69" s="3">
        <f t="shared" ref="AL69:AL97" si="163">-$C$11*$C$10*F37/$C$8</f>
        <v>-1076400000</v>
      </c>
      <c r="AM69" s="3">
        <f t="shared" si="101"/>
        <v>-1030490044.9443803</v>
      </c>
      <c r="AN69" s="3">
        <f t="shared" si="101"/>
        <v>-984832289.92658269</v>
      </c>
      <c r="AO69" s="3">
        <f t="shared" si="101"/>
        <v>-939675787.40432286</v>
      </c>
      <c r="AP69" s="3">
        <f t="shared" si="101"/>
        <v>-895263340.60281527</v>
      </c>
      <c r="AQ69" s="3">
        <f t="shared" si="101"/>
        <v>-851828492.74631393</v>
      </c>
      <c r="AR69" s="3">
        <f t="shared" si="101"/>
        <v>-809592650.21961665</v>
      </c>
      <c r="AS69" s="3">
        <f t="shared" si="101"/>
        <v>-768762379.92075968</v>
      </c>
      <c r="AT69" s="3">
        <f t="shared" si="101"/>
        <v>-729526917.4991287</v>
      </c>
      <c r="AU69" s="3">
        <f t="shared" si="101"/>
        <v>-692055918.94063199</v>
      </c>
      <c r="AV69" s="3">
        <f t="shared" si="101"/>
        <v>-656497483.19895935</v>
      </c>
      <c r="AW69" s="3">
        <f t="shared" si="101"/>
        <v>-622976468.42773283</v>
      </c>
      <c r="AX69" s="3">
        <f t="shared" si="101"/>
        <v>-591593118.99761951</v>
      </c>
      <c r="AY69" s="3">
        <f t="shared" si="101"/>
        <v>-562422015.04016221</v>
      </c>
      <c r="AZ69" s="3">
        <f t="shared" si="101"/>
        <v>-535511350.89491481</v>
      </c>
      <c r="BA69" s="3">
        <f t="shared" si="101"/>
        <v>-510882543.68499953</v>
      </c>
      <c r="BB69" s="3">
        <f t="shared" si="101"/>
        <v>-488530168.42787486</v>
      </c>
      <c r="BC69" s="3">
        <f t="shared" si="101"/>
        <v>-468422211.70124751</v>
      </c>
      <c r="BD69" s="3">
        <f t="shared" si="101"/>
        <v>-450500632.00303972</v>
      </c>
      <c r="BE69" s="3">
        <f t="shared" si="101"/>
        <v>-434682211.61789441</v>
      </c>
      <c r="BF69" s="3">
        <f t="shared" si="101"/>
        <v>-420859682.05372912</v>
      </c>
      <c r="BG69" s="3">
        <f t="shared" si="101"/>
        <v>-408903102.93809456</v>
      </c>
      <c r="BH69" s="3">
        <f t="shared" si="101"/>
        <v>-398661472.64023721</v>
      </c>
      <c r="BI69" s="3">
        <f t="shared" si="101"/>
        <v>-389964547.76531392</v>
      </c>
      <c r="BJ69" s="3">
        <f t="shared" si="101"/>
        <v>-382624847.99020517</v>
      </c>
      <c r="BK69" s="3">
        <f t="shared" si="101"/>
        <v>-376439822.40169156</v>
      </c>
      <c r="BL69" s="3">
        <f t="shared" si="101"/>
        <v>-371194153.47570771</v>
      </c>
      <c r="BM69" s="3">
        <f t="shared" si="101"/>
        <v>-366662175.01646626</v>
      </c>
      <c r="BN69" s="3">
        <f t="shared" si="101"/>
        <v>-362610380.67382985</v>
      </c>
      <c r="BO69" s="3">
        <f t="shared" si="101"/>
        <v>-358800000</v>
      </c>
      <c r="BQ69" s="28"/>
      <c r="BR69" s="3">
        <f t="shared" si="102"/>
        <v>0.39484815638014015</v>
      </c>
      <c r="BS69" s="3">
        <f t="shared" si="103"/>
        <v>0.39484815638014015</v>
      </c>
      <c r="BT69" s="3">
        <f t="shared" si="104"/>
        <v>0.39484815638014015</v>
      </c>
      <c r="BU69" s="3">
        <f t="shared" si="105"/>
        <v>0.39484815638014015</v>
      </c>
      <c r="BV69" s="3">
        <f t="shared" si="106"/>
        <v>0.39484815638014015</v>
      </c>
      <c r="BW69" s="3">
        <f t="shared" si="107"/>
        <v>0.39484815638014015</v>
      </c>
      <c r="BX69" s="3">
        <f t="shared" si="108"/>
        <v>0.39484815638014015</v>
      </c>
      <c r="BY69" s="3">
        <f t="shared" si="109"/>
        <v>0.39484815638014015</v>
      </c>
      <c r="BZ69" s="3">
        <f t="shared" si="110"/>
        <v>0.39484815638014015</v>
      </c>
      <c r="CA69" s="3">
        <f t="shared" si="111"/>
        <v>0.39484815638014015</v>
      </c>
      <c r="CB69" s="3">
        <f t="shared" si="112"/>
        <v>0.39484815638014015</v>
      </c>
      <c r="CC69" s="3">
        <f t="shared" si="113"/>
        <v>0.39484815638014015</v>
      </c>
      <c r="CD69" s="3">
        <f t="shared" si="114"/>
        <v>0.39484815638014015</v>
      </c>
      <c r="CE69" s="3">
        <f t="shared" si="115"/>
        <v>0.39484815638014015</v>
      </c>
      <c r="CF69" s="3">
        <f t="shared" si="116"/>
        <v>0.39484815638014015</v>
      </c>
      <c r="CG69" s="3">
        <f t="shared" si="117"/>
        <v>0.39484815638014015</v>
      </c>
      <c r="CH69" s="3">
        <f t="shared" si="118"/>
        <v>0.39484815638014015</v>
      </c>
      <c r="CI69" s="3">
        <f t="shared" si="119"/>
        <v>0.39484815638014015</v>
      </c>
      <c r="CJ69" s="3">
        <f t="shared" si="120"/>
        <v>0.39484815638014015</v>
      </c>
      <c r="CK69" s="3">
        <f t="shared" si="121"/>
        <v>0.39484815638014015</v>
      </c>
      <c r="CL69" s="3">
        <f t="shared" si="122"/>
        <v>0.39484815638014015</v>
      </c>
      <c r="CM69" s="3">
        <f t="shared" si="123"/>
        <v>0.39484815638014015</v>
      </c>
      <c r="CN69" s="3">
        <f t="shared" si="124"/>
        <v>0.39484815638014015</v>
      </c>
      <c r="CO69" s="3">
        <f t="shared" si="125"/>
        <v>0.39484815638014015</v>
      </c>
      <c r="CP69" s="3">
        <f t="shared" si="126"/>
        <v>0.39484815638014015</v>
      </c>
      <c r="CQ69" s="3">
        <f t="shared" si="127"/>
        <v>0.39484815638014015</v>
      </c>
      <c r="CR69" s="3">
        <f t="shared" si="128"/>
        <v>0.39484815638014015</v>
      </c>
      <c r="CS69" s="3">
        <f t="shared" si="129"/>
        <v>0.39484815638014015</v>
      </c>
      <c r="CT69" s="3">
        <f t="shared" si="130"/>
        <v>0.39484815638014015</v>
      </c>
      <c r="CU69" s="3">
        <f t="shared" si="131"/>
        <v>0.39484815638014015</v>
      </c>
      <c r="CW69" s="28"/>
      <c r="CX69" s="3">
        <f t="shared" si="132"/>
        <v>181.54555308595795</v>
      </c>
      <c r="CY69" s="3">
        <f t="shared" si="133"/>
        <v>173.80238309085951</v>
      </c>
      <c r="CZ69" s="3">
        <f t="shared" si="134"/>
        <v>166.10174913752502</v>
      </c>
      <c r="DA69" s="3">
        <f t="shared" si="135"/>
        <v>158.48565639706507</v>
      </c>
      <c r="DB69" s="3">
        <f t="shared" si="136"/>
        <v>150.99505604544822</v>
      </c>
      <c r="DC69" s="3">
        <f t="shared" si="137"/>
        <v>143.66933746749118</v>
      </c>
      <c r="DD69" s="3">
        <f t="shared" si="138"/>
        <v>136.54584304946749</v>
      </c>
      <c r="DE69" s="3">
        <f t="shared" si="139"/>
        <v>129.6594123507912</v>
      </c>
      <c r="DF69" s="3">
        <f t="shared" si="140"/>
        <v>123.04196184362074</v>
      </c>
      <c r="DG69" s="3">
        <f t="shared" si="141"/>
        <v>116.72210569536225</v>
      </c>
      <c r="DH69" s="3">
        <f t="shared" si="142"/>
        <v>110.72482226578826</v>
      </c>
      <c r="DI69" s="3">
        <f t="shared" si="143"/>
        <v>105.07117012286285</v>
      </c>
      <c r="DJ69" s="3">
        <f t="shared" si="144"/>
        <v>99.778056475538634</v>
      </c>
      <c r="DK69" s="3">
        <f t="shared" si="145"/>
        <v>94.858060003888156</v>
      </c>
      <c r="DL69" s="3">
        <f t="shared" si="146"/>
        <v>90.319309162045528</v>
      </c>
      <c r="DM69" s="3">
        <f t="shared" si="147"/>
        <v>86.165416160585579</v>
      </c>
      <c r="DN69" s="3">
        <f t="shared" si="148"/>
        <v>82.395466022310217</v>
      </c>
      <c r="DO69" s="3">
        <f t="shared" si="149"/>
        <v>79.004059365524583</v>
      </c>
      <c r="DP69" s="3">
        <f t="shared" si="150"/>
        <v>75.981406914312018</v>
      </c>
      <c r="DQ69" s="3">
        <f t="shared" si="151"/>
        <v>73.313473174282848</v>
      </c>
      <c r="DR69" s="3">
        <f t="shared" si="152"/>
        <v>70.982166248629397</v>
      </c>
      <c r="DS69" s="3">
        <f t="shared" si="153"/>
        <v>68.965570402694894</v>
      </c>
      <c r="DT69" s="3">
        <f t="shared" si="154"/>
        <v>67.238217711384564</v>
      </c>
      <c r="DU69" s="3">
        <f t="shared" si="155"/>
        <v>65.771394934939977</v>
      </c>
      <c r="DV69" s="3">
        <f t="shared" si="156"/>
        <v>64.533481654415084</v>
      </c>
      <c r="DW69" s="3">
        <f t="shared" si="157"/>
        <v>63.490315646130519</v>
      </c>
      <c r="DX69" s="3">
        <f t="shared" si="158"/>
        <v>62.605581470662685</v>
      </c>
      <c r="DY69" s="3">
        <f t="shared" si="159"/>
        <v>61.841218282297177</v>
      </c>
      <c r="DZ69" s="3">
        <f t="shared" si="160"/>
        <v>61.157842915403378</v>
      </c>
      <c r="EA69" s="3">
        <f t="shared" si="161"/>
        <v>60.51518436198598</v>
      </c>
    </row>
    <row r="70" spans="5:131" x14ac:dyDescent="0.3">
      <c r="E70" s="27"/>
      <c r="F70" s="17">
        <v>300</v>
      </c>
      <c r="G70" s="15">
        <f t="shared" ref="G70:G97" si="164">BS70*G69+CY70</f>
        <v>287.20458331783169</v>
      </c>
      <c r="H70" s="15">
        <f t="shared" ref="H70:H97" si="165">BT70*H69+CZ70</f>
        <v>274.47945650127718</v>
      </c>
      <c r="I70" s="15">
        <f t="shared" ref="I70:I97" si="166">BU70*I69+DA70</f>
        <v>261.8940321639696</v>
      </c>
      <c r="J70" s="15">
        <f t="shared" ref="J70:J97" si="167">BV70*J69+DB70</f>
        <v>249.51598121594628</v>
      </c>
      <c r="K70" s="15">
        <f t="shared" ref="K70:K97" si="168">BW70*K69+DC70</f>
        <v>237.41039374200503</v>
      </c>
      <c r="L70" s="15">
        <f t="shared" ref="L70:L97" si="169">BX70*L69+DD70</f>
        <v>225.63897720725103</v>
      </c>
      <c r="M70" s="15">
        <f t="shared" ref="M70:M97" si="170">BY70*M69+DE70</f>
        <v>214.25930321091406</v>
      </c>
      <c r="N70" s="15">
        <f t="shared" ref="N70:N97" si="171">BZ70*N69+DF70</f>
        <v>203.32411301536479</v>
      </c>
      <c r="O70" s="15">
        <f t="shared" ref="O70:O97" si="172">CA70*O69+DG70</f>
        <v>192.88069089761203</v>
      </c>
      <c r="P70" s="15">
        <f t="shared" ref="P70:P97" si="173">CB70*P69+DH70</f>
        <v>182.97031304318824</v>
      </c>
      <c r="Q70" s="15">
        <f t="shared" ref="Q70:Q97" si="174">CC70*Q69+DI70</f>
        <v>173.62777826859889</v>
      </c>
      <c r="R70" s="15">
        <f t="shared" ref="R70:R97" si="175">CD70*R69+DJ70</f>
        <v>164.88102536165542</v>
      </c>
      <c r="S70" s="15">
        <f t="shared" ref="S70:S97" si="176">CE70*S69+DK70</f>
        <v>156.75084031219683</v>
      </c>
      <c r="T70" s="15">
        <f t="shared" ref="T70:T97" si="177">CF70*T69+DL70</f>
        <v>149.25065521039988</v>
      </c>
      <c r="U70" s="15">
        <f t="shared" ref="U70:U97" si="178">CG70*U69+DM70</f>
        <v>142.38643915412473</v>
      </c>
      <c r="V70" s="15">
        <f t="shared" ref="V70:V97" si="179">CH70*V69+DN70</f>
        <v>136.1566801638447</v>
      </c>
      <c r="W70" s="15">
        <f t="shared" ref="W70:W97" si="180">CI70*W69+DO70</f>
        <v>130.55245588106118</v>
      </c>
      <c r="X70" s="15">
        <f t="shared" ref="X70:X97" si="181">CJ70*X69+DP70</f>
        <v>125.55758974443694</v>
      </c>
      <c r="Y70" s="15">
        <f t="shared" ref="Y70:Y97" si="182">CK70*Y69+DQ70</f>
        <v>121.14888841078439</v>
      </c>
      <c r="Z70" s="15">
        <f t="shared" ref="Z70:Z97" si="183">CL70*Z69+DR70</f>
        <v>117.29645542188662</v>
      </c>
      <c r="AA70" s="15">
        <f t="shared" ref="AA70:AA97" si="184">CM70*AA69+DS70</f>
        <v>113.96407551228947</v>
      </c>
      <c r="AB70" s="15">
        <f t="shared" ref="AB70:AB97" si="185">CN70*AB69+DT70</f>
        <v>111.10966350062351</v>
      </c>
      <c r="AC70" s="15">
        <f t="shared" ref="AC70:AC97" si="186">CO70*AC69+DU70</f>
        <v>108.68577139501504</v>
      </c>
      <c r="AD70" s="15">
        <f t="shared" ref="AD70:AD97" si="187">CP70*AD69+DV70</f>
        <v>106.64014715446076</v>
      </c>
      <c r="AE70" s="15">
        <f t="shared" ref="AE70:AE97" si="188">CQ70*AE69+DW70</f>
        <v>104.91633846200993</v>
      </c>
      <c r="AF70" s="15">
        <f t="shared" ref="AF70:AF97" si="189">CR70*AF69+DX70</f>
        <v>103.4543348594503</v>
      </c>
      <c r="AG70" s="15">
        <f t="shared" ref="AG70:AG97" si="190">CS70*AG69+DY70</f>
        <v>102.19124164338524</v>
      </c>
      <c r="AH70" s="15">
        <f t="shared" ref="AH70:AH97" si="191">CT70*AH69+DZ70</f>
        <v>101.06197900608413</v>
      </c>
      <c r="AI70" s="17">
        <v>100</v>
      </c>
      <c r="AK70" s="28"/>
      <c r="AL70" s="3">
        <f t="shared" si="163"/>
        <v>-1076400000</v>
      </c>
      <c r="AM70" s="3">
        <f t="shared" si="101"/>
        <v>-1030490044.9443803</v>
      </c>
      <c r="AN70" s="3">
        <f t="shared" si="101"/>
        <v>-984832289.92658269</v>
      </c>
      <c r="AO70" s="3">
        <f t="shared" si="101"/>
        <v>-939675787.40432286</v>
      </c>
      <c r="AP70" s="3">
        <f t="shared" si="101"/>
        <v>-895263340.60281527</v>
      </c>
      <c r="AQ70" s="3">
        <f t="shared" si="101"/>
        <v>-851828492.74631393</v>
      </c>
      <c r="AR70" s="3">
        <f t="shared" si="101"/>
        <v>-809592650.21961665</v>
      </c>
      <c r="AS70" s="3">
        <f t="shared" si="101"/>
        <v>-768762379.92075968</v>
      </c>
      <c r="AT70" s="3">
        <f t="shared" si="101"/>
        <v>-729526917.4991287</v>
      </c>
      <c r="AU70" s="3">
        <f t="shared" si="101"/>
        <v>-692055918.94063199</v>
      </c>
      <c r="AV70" s="3">
        <f t="shared" si="101"/>
        <v>-656497483.19895935</v>
      </c>
      <c r="AW70" s="3">
        <f t="shared" si="101"/>
        <v>-622976468.42773283</v>
      </c>
      <c r="AX70" s="3">
        <f t="shared" si="101"/>
        <v>-591593118.99761963</v>
      </c>
      <c r="AY70" s="3">
        <f t="shared" si="101"/>
        <v>-562422015.04016232</v>
      </c>
      <c r="AZ70" s="3">
        <f t="shared" si="101"/>
        <v>-535511350.89491481</v>
      </c>
      <c r="BA70" s="3">
        <f t="shared" si="101"/>
        <v>-510882543.68499953</v>
      </c>
      <c r="BB70" s="3">
        <f t="shared" si="101"/>
        <v>-488530168.42787486</v>
      </c>
      <c r="BC70" s="3">
        <f t="shared" si="101"/>
        <v>-468422211.70124751</v>
      </c>
      <c r="BD70" s="3">
        <f t="shared" si="101"/>
        <v>-450500632.00303972</v>
      </c>
      <c r="BE70" s="3">
        <f t="shared" si="101"/>
        <v>-434682211.61789441</v>
      </c>
      <c r="BF70" s="3">
        <f t="shared" si="101"/>
        <v>-420859682.05372912</v>
      </c>
      <c r="BG70" s="3">
        <f t="shared" si="101"/>
        <v>-408903102.93809456</v>
      </c>
      <c r="BH70" s="3">
        <f t="shared" si="101"/>
        <v>-398661472.64023721</v>
      </c>
      <c r="BI70" s="3">
        <f t="shared" si="101"/>
        <v>-389964547.76531392</v>
      </c>
      <c r="BJ70" s="3">
        <f t="shared" si="101"/>
        <v>-382624847.99020517</v>
      </c>
      <c r="BK70" s="3">
        <f t="shared" si="101"/>
        <v>-376439822.40169156</v>
      </c>
      <c r="BL70" s="3">
        <f t="shared" si="101"/>
        <v>-371194153.47570771</v>
      </c>
      <c r="BM70" s="3">
        <f t="shared" si="101"/>
        <v>-366662175.01646626</v>
      </c>
      <c r="BN70" s="3">
        <f t="shared" si="101"/>
        <v>-362610380.67382985</v>
      </c>
      <c r="BO70" s="3">
        <f t="shared" si="101"/>
        <v>-358800000</v>
      </c>
      <c r="BQ70" s="28"/>
      <c r="BR70" s="3">
        <f t="shared" si="102"/>
        <v>0.39484815638014015</v>
      </c>
      <c r="BS70" s="3">
        <f t="shared" si="103"/>
        <v>0.39484815638014015</v>
      </c>
      <c r="BT70" s="3">
        <f t="shared" si="104"/>
        <v>0.39484815638014015</v>
      </c>
      <c r="BU70" s="3">
        <f t="shared" si="105"/>
        <v>0.39484815638014015</v>
      </c>
      <c r="BV70" s="3">
        <f t="shared" si="106"/>
        <v>0.39484815638014015</v>
      </c>
      <c r="BW70" s="3">
        <f t="shared" si="107"/>
        <v>0.39484815638014015</v>
      </c>
      <c r="BX70" s="3">
        <f t="shared" si="108"/>
        <v>0.39484815638014015</v>
      </c>
      <c r="BY70" s="3">
        <f t="shared" si="109"/>
        <v>0.39484815638014015</v>
      </c>
      <c r="BZ70" s="3">
        <f t="shared" si="110"/>
        <v>0.39484815638014015</v>
      </c>
      <c r="CA70" s="3">
        <f t="shared" si="111"/>
        <v>0.39484815638014015</v>
      </c>
      <c r="CB70" s="3">
        <f t="shared" si="112"/>
        <v>0.39484815638014015</v>
      </c>
      <c r="CC70" s="3">
        <f t="shared" si="113"/>
        <v>0.39484815638014015</v>
      </c>
      <c r="CD70" s="3">
        <f t="shared" si="114"/>
        <v>0.39484815638014015</v>
      </c>
      <c r="CE70" s="3">
        <f t="shared" si="115"/>
        <v>0.39484815638014015</v>
      </c>
      <c r="CF70" s="3">
        <f t="shared" si="116"/>
        <v>0.39484815638014015</v>
      </c>
      <c r="CG70" s="3">
        <f t="shared" si="117"/>
        <v>0.39484815638014015</v>
      </c>
      <c r="CH70" s="3">
        <f t="shared" si="118"/>
        <v>0.39484815638014015</v>
      </c>
      <c r="CI70" s="3">
        <f t="shared" si="119"/>
        <v>0.39484815638014015</v>
      </c>
      <c r="CJ70" s="3">
        <f t="shared" si="120"/>
        <v>0.39484815638014015</v>
      </c>
      <c r="CK70" s="3">
        <f t="shared" si="121"/>
        <v>0.39484815638014015</v>
      </c>
      <c r="CL70" s="3">
        <f t="shared" si="122"/>
        <v>0.39484815638014015</v>
      </c>
      <c r="CM70" s="3">
        <f t="shared" si="123"/>
        <v>0.39484815638014015</v>
      </c>
      <c r="CN70" s="3">
        <f t="shared" si="124"/>
        <v>0.39484815638014015</v>
      </c>
      <c r="CO70" s="3">
        <f t="shared" si="125"/>
        <v>0.39484815638014015</v>
      </c>
      <c r="CP70" s="3">
        <f t="shared" si="126"/>
        <v>0.39484815638014015</v>
      </c>
      <c r="CQ70" s="3">
        <f t="shared" si="127"/>
        <v>0.39484815638014015</v>
      </c>
      <c r="CR70" s="3">
        <f t="shared" si="128"/>
        <v>0.39484815638014015</v>
      </c>
      <c r="CS70" s="3">
        <f t="shared" si="129"/>
        <v>0.39484815638014015</v>
      </c>
      <c r="CT70" s="3">
        <f t="shared" si="130"/>
        <v>0.39484815638014015</v>
      </c>
      <c r="CU70" s="3">
        <f t="shared" si="131"/>
        <v>0.39484815638014015</v>
      </c>
      <c r="CW70" s="28"/>
      <c r="CX70" s="3">
        <f t="shared" si="132"/>
        <v>181.54555308595795</v>
      </c>
      <c r="CY70" s="3">
        <f t="shared" si="133"/>
        <v>173.80238309085951</v>
      </c>
      <c r="CZ70" s="3">
        <f t="shared" si="134"/>
        <v>166.10174913752502</v>
      </c>
      <c r="DA70" s="3">
        <f t="shared" si="135"/>
        <v>158.48565639706507</v>
      </c>
      <c r="DB70" s="3">
        <f t="shared" si="136"/>
        <v>150.99505604544822</v>
      </c>
      <c r="DC70" s="3">
        <f t="shared" si="137"/>
        <v>143.66933746749118</v>
      </c>
      <c r="DD70" s="3">
        <f t="shared" si="138"/>
        <v>136.54584304946749</v>
      </c>
      <c r="DE70" s="3">
        <f t="shared" si="139"/>
        <v>129.6594123507912</v>
      </c>
      <c r="DF70" s="3">
        <f t="shared" si="140"/>
        <v>123.04196184362074</v>
      </c>
      <c r="DG70" s="3">
        <f t="shared" si="141"/>
        <v>116.72210569536225</v>
      </c>
      <c r="DH70" s="3">
        <f t="shared" si="142"/>
        <v>110.72482226578826</v>
      </c>
      <c r="DI70" s="3">
        <f t="shared" si="143"/>
        <v>105.07117012286285</v>
      </c>
      <c r="DJ70" s="3">
        <f t="shared" si="144"/>
        <v>99.778056475538648</v>
      </c>
      <c r="DK70" s="3">
        <f t="shared" si="145"/>
        <v>94.85806000388817</v>
      </c>
      <c r="DL70" s="3">
        <f t="shared" si="146"/>
        <v>90.319309162045528</v>
      </c>
      <c r="DM70" s="3">
        <f t="shared" si="147"/>
        <v>86.165416160585579</v>
      </c>
      <c r="DN70" s="3">
        <f t="shared" si="148"/>
        <v>82.395466022310217</v>
      </c>
      <c r="DO70" s="3">
        <f t="shared" si="149"/>
        <v>79.004059365524583</v>
      </c>
      <c r="DP70" s="3">
        <f t="shared" si="150"/>
        <v>75.981406914312018</v>
      </c>
      <c r="DQ70" s="3">
        <f t="shared" si="151"/>
        <v>73.313473174282848</v>
      </c>
      <c r="DR70" s="3">
        <f t="shared" si="152"/>
        <v>70.982166248629397</v>
      </c>
      <c r="DS70" s="3">
        <f t="shared" si="153"/>
        <v>68.965570402694894</v>
      </c>
      <c r="DT70" s="3">
        <f t="shared" si="154"/>
        <v>67.238217711384578</v>
      </c>
      <c r="DU70" s="3">
        <f t="shared" si="155"/>
        <v>65.771394934939977</v>
      </c>
      <c r="DV70" s="3">
        <f t="shared" si="156"/>
        <v>64.533481654415084</v>
      </c>
      <c r="DW70" s="3">
        <f t="shared" si="157"/>
        <v>63.490315646130519</v>
      </c>
      <c r="DX70" s="3">
        <f t="shared" si="158"/>
        <v>62.605581470662685</v>
      </c>
      <c r="DY70" s="3">
        <f t="shared" si="159"/>
        <v>61.841218282297177</v>
      </c>
      <c r="DZ70" s="3">
        <f t="shared" si="160"/>
        <v>61.157842915403378</v>
      </c>
      <c r="EA70" s="3">
        <f t="shared" si="161"/>
        <v>60.51518436198598</v>
      </c>
    </row>
    <row r="71" spans="5:131" x14ac:dyDescent="0.3">
      <c r="E71" s="27"/>
      <c r="F71" s="17">
        <v>300</v>
      </c>
      <c r="G71" s="15">
        <f t="shared" si="164"/>
        <v>287.20458331783169</v>
      </c>
      <c r="H71" s="15">
        <f t="shared" si="165"/>
        <v>274.47945650127718</v>
      </c>
      <c r="I71" s="15">
        <f t="shared" si="166"/>
        <v>261.8940321639696</v>
      </c>
      <c r="J71" s="15">
        <f t="shared" si="167"/>
        <v>249.51598121594628</v>
      </c>
      <c r="K71" s="15">
        <f t="shared" si="168"/>
        <v>237.41039374200503</v>
      </c>
      <c r="L71" s="15">
        <f t="shared" si="169"/>
        <v>225.63897720725103</v>
      </c>
      <c r="M71" s="15">
        <f t="shared" si="170"/>
        <v>214.25930321091408</v>
      </c>
      <c r="N71" s="15">
        <f t="shared" si="171"/>
        <v>203.32411301536479</v>
      </c>
      <c r="O71" s="15">
        <f t="shared" si="172"/>
        <v>192.88069089761203</v>
      </c>
      <c r="P71" s="15">
        <f t="shared" si="173"/>
        <v>182.97031304318824</v>
      </c>
      <c r="Q71" s="15">
        <f t="shared" si="174"/>
        <v>173.62777826859889</v>
      </c>
      <c r="R71" s="15">
        <f t="shared" si="175"/>
        <v>164.88102536165542</v>
      </c>
      <c r="S71" s="15">
        <f t="shared" si="176"/>
        <v>156.75084031219683</v>
      </c>
      <c r="T71" s="15">
        <f t="shared" si="177"/>
        <v>149.25065521039988</v>
      </c>
      <c r="U71" s="15">
        <f t="shared" si="178"/>
        <v>142.38643915412473</v>
      </c>
      <c r="V71" s="15">
        <f t="shared" si="179"/>
        <v>136.1566801638447</v>
      </c>
      <c r="W71" s="15">
        <f t="shared" si="180"/>
        <v>130.55245588106118</v>
      </c>
      <c r="X71" s="15">
        <f t="shared" si="181"/>
        <v>125.55758974443694</v>
      </c>
      <c r="Y71" s="15">
        <f t="shared" si="182"/>
        <v>121.14888841078439</v>
      </c>
      <c r="Z71" s="15">
        <f t="shared" si="183"/>
        <v>117.29645542188662</v>
      </c>
      <c r="AA71" s="15">
        <f t="shared" si="184"/>
        <v>113.96407551228948</v>
      </c>
      <c r="AB71" s="15">
        <f t="shared" si="185"/>
        <v>111.10966350062353</v>
      </c>
      <c r="AC71" s="15">
        <f t="shared" si="186"/>
        <v>108.68577139501505</v>
      </c>
      <c r="AD71" s="15">
        <f t="shared" si="187"/>
        <v>106.64014715446076</v>
      </c>
      <c r="AE71" s="15">
        <f t="shared" si="188"/>
        <v>104.91633846200993</v>
      </c>
      <c r="AF71" s="15">
        <f t="shared" si="189"/>
        <v>103.4543348594503</v>
      </c>
      <c r="AG71" s="15">
        <f t="shared" si="190"/>
        <v>102.19124164338524</v>
      </c>
      <c r="AH71" s="15">
        <f t="shared" si="191"/>
        <v>101.06197900608413</v>
      </c>
      <c r="AI71" s="17">
        <v>100</v>
      </c>
      <c r="AK71" s="28"/>
      <c r="AL71" s="3">
        <f t="shared" si="163"/>
        <v>-1076400000</v>
      </c>
      <c r="AM71" s="3">
        <f t="shared" si="101"/>
        <v>-1030490044.9443803</v>
      </c>
      <c r="AN71" s="3">
        <f t="shared" si="101"/>
        <v>-984832289.92658269</v>
      </c>
      <c r="AO71" s="3">
        <f t="shared" si="101"/>
        <v>-939675787.40432286</v>
      </c>
      <c r="AP71" s="3">
        <f t="shared" si="101"/>
        <v>-895263340.60281527</v>
      </c>
      <c r="AQ71" s="3">
        <f t="shared" si="101"/>
        <v>-851828492.74631393</v>
      </c>
      <c r="AR71" s="3">
        <f t="shared" si="101"/>
        <v>-809592650.21961665</v>
      </c>
      <c r="AS71" s="3">
        <f t="shared" si="101"/>
        <v>-768762379.92075968</v>
      </c>
      <c r="AT71" s="3">
        <f t="shared" si="101"/>
        <v>-729526917.4991287</v>
      </c>
      <c r="AU71" s="3">
        <f t="shared" si="101"/>
        <v>-692055918.94063199</v>
      </c>
      <c r="AV71" s="3">
        <f t="shared" si="101"/>
        <v>-656497483.19895935</v>
      </c>
      <c r="AW71" s="3">
        <f t="shared" si="101"/>
        <v>-622976468.42773283</v>
      </c>
      <c r="AX71" s="3">
        <f t="shared" si="101"/>
        <v>-591593118.99761963</v>
      </c>
      <c r="AY71" s="3">
        <f t="shared" si="101"/>
        <v>-562422015.04016232</v>
      </c>
      <c r="AZ71" s="3">
        <f t="shared" si="101"/>
        <v>-535511350.89491481</v>
      </c>
      <c r="BA71" s="3">
        <f t="shared" si="101"/>
        <v>-510882543.68499953</v>
      </c>
      <c r="BB71" s="3">
        <f t="shared" si="101"/>
        <v>-488530168.42787486</v>
      </c>
      <c r="BC71" s="3">
        <f t="shared" si="101"/>
        <v>-468422211.70124751</v>
      </c>
      <c r="BD71" s="3">
        <f t="shared" si="101"/>
        <v>-450500632.00303972</v>
      </c>
      <c r="BE71" s="3">
        <f t="shared" si="101"/>
        <v>-434682211.61789441</v>
      </c>
      <c r="BF71" s="3">
        <f t="shared" si="101"/>
        <v>-420859682.05372918</v>
      </c>
      <c r="BG71" s="3">
        <f t="shared" si="101"/>
        <v>-408903102.93809462</v>
      </c>
      <c r="BH71" s="3">
        <f t="shared" si="101"/>
        <v>-398661472.64023733</v>
      </c>
      <c r="BI71" s="3">
        <f t="shared" si="101"/>
        <v>-389964547.76531398</v>
      </c>
      <c r="BJ71" s="3">
        <f t="shared" si="101"/>
        <v>-382624847.99020517</v>
      </c>
      <c r="BK71" s="3">
        <f t="shared" si="101"/>
        <v>-376439822.40169156</v>
      </c>
      <c r="BL71" s="3">
        <f t="shared" si="101"/>
        <v>-371194153.47570771</v>
      </c>
      <c r="BM71" s="3">
        <f t="shared" si="101"/>
        <v>-366662175.01646626</v>
      </c>
      <c r="BN71" s="3">
        <f t="shared" si="101"/>
        <v>-362610380.67382985</v>
      </c>
      <c r="BO71" s="3">
        <f t="shared" si="101"/>
        <v>-358800000</v>
      </c>
      <c r="BQ71" s="28"/>
      <c r="BR71" s="3">
        <f t="shared" si="102"/>
        <v>0.39484815638014015</v>
      </c>
      <c r="BS71" s="3">
        <f t="shared" si="103"/>
        <v>0.39484815638014015</v>
      </c>
      <c r="BT71" s="3">
        <f t="shared" si="104"/>
        <v>0.39484815638014015</v>
      </c>
      <c r="BU71" s="3">
        <f t="shared" si="105"/>
        <v>0.39484815638014015</v>
      </c>
      <c r="BV71" s="3">
        <f t="shared" si="106"/>
        <v>0.39484815638014015</v>
      </c>
      <c r="BW71" s="3">
        <f t="shared" si="107"/>
        <v>0.39484815638014015</v>
      </c>
      <c r="BX71" s="3">
        <f t="shared" si="108"/>
        <v>0.39484815638014015</v>
      </c>
      <c r="BY71" s="3">
        <f t="shared" si="109"/>
        <v>0.39484815638014015</v>
      </c>
      <c r="BZ71" s="3">
        <f t="shared" si="110"/>
        <v>0.39484815638014015</v>
      </c>
      <c r="CA71" s="3">
        <f t="shared" si="111"/>
        <v>0.39484815638014015</v>
      </c>
      <c r="CB71" s="3">
        <f t="shared" si="112"/>
        <v>0.39484815638014015</v>
      </c>
      <c r="CC71" s="3">
        <f t="shared" si="113"/>
        <v>0.39484815638014015</v>
      </c>
      <c r="CD71" s="3">
        <f t="shared" si="114"/>
        <v>0.39484815638014015</v>
      </c>
      <c r="CE71" s="3">
        <f t="shared" si="115"/>
        <v>0.39484815638014015</v>
      </c>
      <c r="CF71" s="3">
        <f t="shared" si="116"/>
        <v>0.39484815638014015</v>
      </c>
      <c r="CG71" s="3">
        <f t="shared" si="117"/>
        <v>0.39484815638014015</v>
      </c>
      <c r="CH71" s="3">
        <f t="shared" si="118"/>
        <v>0.39484815638014015</v>
      </c>
      <c r="CI71" s="3">
        <f t="shared" si="119"/>
        <v>0.39484815638014015</v>
      </c>
      <c r="CJ71" s="3">
        <f t="shared" si="120"/>
        <v>0.39484815638014015</v>
      </c>
      <c r="CK71" s="3">
        <f t="shared" si="121"/>
        <v>0.39484815638014015</v>
      </c>
      <c r="CL71" s="3">
        <f t="shared" si="122"/>
        <v>0.39484815638014015</v>
      </c>
      <c r="CM71" s="3">
        <f t="shared" si="123"/>
        <v>0.39484815638014015</v>
      </c>
      <c r="CN71" s="3">
        <f t="shared" si="124"/>
        <v>0.39484815638014015</v>
      </c>
      <c r="CO71" s="3">
        <f t="shared" si="125"/>
        <v>0.39484815638014015</v>
      </c>
      <c r="CP71" s="3">
        <f t="shared" si="126"/>
        <v>0.39484815638014015</v>
      </c>
      <c r="CQ71" s="3">
        <f t="shared" si="127"/>
        <v>0.39484815638014015</v>
      </c>
      <c r="CR71" s="3">
        <f t="shared" si="128"/>
        <v>0.39484815638014015</v>
      </c>
      <c r="CS71" s="3">
        <f t="shared" si="129"/>
        <v>0.39484815638014015</v>
      </c>
      <c r="CT71" s="3">
        <f t="shared" si="130"/>
        <v>0.39484815638014015</v>
      </c>
      <c r="CU71" s="3">
        <f t="shared" si="131"/>
        <v>0.39484815638014015</v>
      </c>
      <c r="CW71" s="28"/>
      <c r="CX71" s="3">
        <f t="shared" si="132"/>
        <v>181.54555308595795</v>
      </c>
      <c r="CY71" s="3">
        <f t="shared" si="133"/>
        <v>173.80238309085951</v>
      </c>
      <c r="CZ71" s="3">
        <f t="shared" si="134"/>
        <v>166.10174913752502</v>
      </c>
      <c r="DA71" s="3">
        <f t="shared" si="135"/>
        <v>158.48565639706507</v>
      </c>
      <c r="DB71" s="3">
        <f t="shared" si="136"/>
        <v>150.99505604544822</v>
      </c>
      <c r="DC71" s="3">
        <f t="shared" si="137"/>
        <v>143.66933746749118</v>
      </c>
      <c r="DD71" s="3">
        <f t="shared" si="138"/>
        <v>136.54584304946749</v>
      </c>
      <c r="DE71" s="3">
        <f t="shared" si="139"/>
        <v>129.65941235079123</v>
      </c>
      <c r="DF71" s="3">
        <f t="shared" si="140"/>
        <v>123.04196184362074</v>
      </c>
      <c r="DG71" s="3">
        <f t="shared" si="141"/>
        <v>116.72210569536225</v>
      </c>
      <c r="DH71" s="3">
        <f t="shared" si="142"/>
        <v>110.72482226578826</v>
      </c>
      <c r="DI71" s="3">
        <f t="shared" si="143"/>
        <v>105.07117012286285</v>
      </c>
      <c r="DJ71" s="3">
        <f t="shared" si="144"/>
        <v>99.778056475538648</v>
      </c>
      <c r="DK71" s="3">
        <f t="shared" si="145"/>
        <v>94.85806000388817</v>
      </c>
      <c r="DL71" s="3">
        <f t="shared" si="146"/>
        <v>90.319309162045528</v>
      </c>
      <c r="DM71" s="3">
        <f t="shared" si="147"/>
        <v>86.165416160585579</v>
      </c>
      <c r="DN71" s="3">
        <f t="shared" si="148"/>
        <v>82.395466022310231</v>
      </c>
      <c r="DO71" s="3">
        <f t="shared" si="149"/>
        <v>79.004059365524597</v>
      </c>
      <c r="DP71" s="3">
        <f t="shared" si="150"/>
        <v>75.981406914312018</v>
      </c>
      <c r="DQ71" s="3">
        <f t="shared" si="151"/>
        <v>73.313473174282848</v>
      </c>
      <c r="DR71" s="3">
        <f t="shared" si="152"/>
        <v>70.982166248629397</v>
      </c>
      <c r="DS71" s="3">
        <f t="shared" si="153"/>
        <v>68.965570402694908</v>
      </c>
      <c r="DT71" s="3">
        <f t="shared" si="154"/>
        <v>67.238217711384593</v>
      </c>
      <c r="DU71" s="3">
        <f t="shared" si="155"/>
        <v>65.771394934939991</v>
      </c>
      <c r="DV71" s="3">
        <f t="shared" si="156"/>
        <v>64.533481654415084</v>
      </c>
      <c r="DW71" s="3">
        <f t="shared" si="157"/>
        <v>63.490315646130519</v>
      </c>
      <c r="DX71" s="3">
        <f t="shared" si="158"/>
        <v>62.605581470662685</v>
      </c>
      <c r="DY71" s="3">
        <f t="shared" si="159"/>
        <v>61.841218282297177</v>
      </c>
      <c r="DZ71" s="3">
        <f t="shared" si="160"/>
        <v>61.157842915403378</v>
      </c>
      <c r="EA71" s="3">
        <f t="shared" si="161"/>
        <v>60.51518436198598</v>
      </c>
    </row>
    <row r="72" spans="5:131" x14ac:dyDescent="0.3">
      <c r="E72" s="27"/>
      <c r="F72" s="17">
        <v>300</v>
      </c>
      <c r="G72" s="15">
        <f t="shared" si="164"/>
        <v>287.20458331783169</v>
      </c>
      <c r="H72" s="15">
        <f t="shared" si="165"/>
        <v>274.47945650127718</v>
      </c>
      <c r="I72" s="15">
        <f t="shared" si="166"/>
        <v>261.8940321639696</v>
      </c>
      <c r="J72" s="15">
        <f t="shared" si="167"/>
        <v>249.51598121594628</v>
      </c>
      <c r="K72" s="15">
        <f t="shared" si="168"/>
        <v>237.41039374200503</v>
      </c>
      <c r="L72" s="15">
        <f t="shared" si="169"/>
        <v>225.63897720725103</v>
      </c>
      <c r="M72" s="15">
        <f t="shared" si="170"/>
        <v>214.25930321091414</v>
      </c>
      <c r="N72" s="15">
        <f t="shared" si="171"/>
        <v>203.32411301536479</v>
      </c>
      <c r="O72" s="15">
        <f t="shared" si="172"/>
        <v>192.88069089761203</v>
      </c>
      <c r="P72" s="15">
        <f t="shared" si="173"/>
        <v>182.97031304318824</v>
      </c>
      <c r="Q72" s="15">
        <f t="shared" si="174"/>
        <v>173.62777826859892</v>
      </c>
      <c r="R72" s="15">
        <f t="shared" si="175"/>
        <v>164.88102536165545</v>
      </c>
      <c r="S72" s="15">
        <f t="shared" si="176"/>
        <v>156.75084031219689</v>
      </c>
      <c r="T72" s="15">
        <f t="shared" si="177"/>
        <v>149.25065521039991</v>
      </c>
      <c r="U72" s="15">
        <f t="shared" si="178"/>
        <v>142.38643915412473</v>
      </c>
      <c r="V72" s="15">
        <f t="shared" si="179"/>
        <v>136.15668016384473</v>
      </c>
      <c r="W72" s="15">
        <f t="shared" si="180"/>
        <v>130.55245588106121</v>
      </c>
      <c r="X72" s="15">
        <f t="shared" si="181"/>
        <v>125.55758974443694</v>
      </c>
      <c r="Y72" s="15">
        <f t="shared" si="182"/>
        <v>121.14888841078441</v>
      </c>
      <c r="Z72" s="15">
        <f t="shared" si="183"/>
        <v>117.29645542188662</v>
      </c>
      <c r="AA72" s="15">
        <f t="shared" si="184"/>
        <v>113.96407551228948</v>
      </c>
      <c r="AB72" s="15">
        <f t="shared" si="185"/>
        <v>111.10966350062354</v>
      </c>
      <c r="AC72" s="15">
        <f t="shared" si="186"/>
        <v>108.68577139501505</v>
      </c>
      <c r="AD72" s="15">
        <f t="shared" si="187"/>
        <v>106.64014715446076</v>
      </c>
      <c r="AE72" s="15">
        <f t="shared" si="188"/>
        <v>104.91633846200993</v>
      </c>
      <c r="AF72" s="15">
        <f t="shared" si="189"/>
        <v>103.4543348594503</v>
      </c>
      <c r="AG72" s="15">
        <f t="shared" si="190"/>
        <v>102.19124164338524</v>
      </c>
      <c r="AH72" s="15">
        <f t="shared" si="191"/>
        <v>101.06197900608413</v>
      </c>
      <c r="AI72" s="17">
        <v>100</v>
      </c>
      <c r="AK72" s="28"/>
      <c r="AL72" s="3">
        <f t="shared" si="163"/>
        <v>-1076400000</v>
      </c>
      <c r="AM72" s="3">
        <f t="shared" si="101"/>
        <v>-1030490044.9443803</v>
      </c>
      <c r="AN72" s="3">
        <f t="shared" si="101"/>
        <v>-984832289.92658269</v>
      </c>
      <c r="AO72" s="3">
        <f t="shared" si="101"/>
        <v>-939675787.40432286</v>
      </c>
      <c r="AP72" s="3">
        <f t="shared" si="101"/>
        <v>-895263340.60281527</v>
      </c>
      <c r="AQ72" s="3">
        <f t="shared" si="101"/>
        <v>-851828492.74631393</v>
      </c>
      <c r="AR72" s="3">
        <f t="shared" si="101"/>
        <v>-809592650.21961665</v>
      </c>
      <c r="AS72" s="3">
        <f t="shared" si="101"/>
        <v>-768762379.92075992</v>
      </c>
      <c r="AT72" s="3">
        <f t="shared" si="101"/>
        <v>-729526917.4991287</v>
      </c>
      <c r="AU72" s="3">
        <f t="shared" si="101"/>
        <v>-692055918.94063199</v>
      </c>
      <c r="AV72" s="3">
        <f t="shared" si="101"/>
        <v>-656497483.19895935</v>
      </c>
      <c r="AW72" s="3">
        <f t="shared" si="101"/>
        <v>-622976468.42773294</v>
      </c>
      <c r="AX72" s="3">
        <f t="shared" si="101"/>
        <v>-591593118.99761975</v>
      </c>
      <c r="AY72" s="3">
        <f t="shared" si="101"/>
        <v>-562422015.04016244</v>
      </c>
      <c r="AZ72" s="3">
        <f t="shared" si="101"/>
        <v>-535511350.89491487</v>
      </c>
      <c r="BA72" s="3">
        <f t="shared" si="101"/>
        <v>-510882543.68499953</v>
      </c>
      <c r="BB72" s="3">
        <f t="shared" si="101"/>
        <v>-488530168.42787486</v>
      </c>
      <c r="BC72" s="3">
        <f t="shared" si="101"/>
        <v>-468422211.70124751</v>
      </c>
      <c r="BD72" s="3">
        <f t="shared" si="101"/>
        <v>-450500632.00303972</v>
      </c>
      <c r="BE72" s="3">
        <f t="shared" si="101"/>
        <v>-434682211.61789441</v>
      </c>
      <c r="BF72" s="3">
        <f t="shared" si="101"/>
        <v>-420859682.05372918</v>
      </c>
      <c r="BG72" s="3">
        <f t="shared" si="101"/>
        <v>-408903102.93809462</v>
      </c>
      <c r="BH72" s="3">
        <f t="shared" si="101"/>
        <v>-398661472.64023733</v>
      </c>
      <c r="BI72" s="3">
        <f t="shared" si="101"/>
        <v>-389964547.76531398</v>
      </c>
      <c r="BJ72" s="3">
        <f t="shared" si="101"/>
        <v>-382624847.99020517</v>
      </c>
      <c r="BK72" s="3">
        <f t="shared" si="101"/>
        <v>-376439822.40169156</v>
      </c>
      <c r="BL72" s="3">
        <f t="shared" si="101"/>
        <v>-371194153.47570771</v>
      </c>
      <c r="BM72" s="3">
        <f t="shared" si="101"/>
        <v>-366662175.01646626</v>
      </c>
      <c r="BN72" s="3">
        <f t="shared" si="101"/>
        <v>-362610380.67382985</v>
      </c>
      <c r="BO72" s="3">
        <f t="shared" si="101"/>
        <v>-358800000</v>
      </c>
      <c r="BQ72" s="28"/>
      <c r="BR72" s="3">
        <f t="shared" si="102"/>
        <v>0.39484815638014015</v>
      </c>
      <c r="BS72" s="3">
        <f t="shared" si="103"/>
        <v>0.39484815638014015</v>
      </c>
      <c r="BT72" s="3">
        <f t="shared" si="104"/>
        <v>0.39484815638014015</v>
      </c>
      <c r="BU72" s="3">
        <f t="shared" si="105"/>
        <v>0.39484815638014015</v>
      </c>
      <c r="BV72" s="3">
        <f t="shared" si="106"/>
        <v>0.39484815638014015</v>
      </c>
      <c r="BW72" s="3">
        <f t="shared" si="107"/>
        <v>0.39484815638014015</v>
      </c>
      <c r="BX72" s="3">
        <f t="shared" si="108"/>
        <v>0.39484815638014015</v>
      </c>
      <c r="BY72" s="3">
        <f t="shared" si="109"/>
        <v>0.39484815638014015</v>
      </c>
      <c r="BZ72" s="3">
        <f t="shared" si="110"/>
        <v>0.39484815638014015</v>
      </c>
      <c r="CA72" s="3">
        <f t="shared" si="111"/>
        <v>0.39484815638014015</v>
      </c>
      <c r="CB72" s="3">
        <f t="shared" si="112"/>
        <v>0.39484815638014015</v>
      </c>
      <c r="CC72" s="3">
        <f t="shared" si="113"/>
        <v>0.39484815638014015</v>
      </c>
      <c r="CD72" s="3">
        <f t="shared" si="114"/>
        <v>0.39484815638014015</v>
      </c>
      <c r="CE72" s="3">
        <f t="shared" si="115"/>
        <v>0.39484815638014015</v>
      </c>
      <c r="CF72" s="3">
        <f t="shared" si="116"/>
        <v>0.39484815638014015</v>
      </c>
      <c r="CG72" s="3">
        <f t="shared" si="117"/>
        <v>0.39484815638014015</v>
      </c>
      <c r="CH72" s="3">
        <f t="shared" si="118"/>
        <v>0.39484815638014015</v>
      </c>
      <c r="CI72" s="3">
        <f t="shared" si="119"/>
        <v>0.39484815638014015</v>
      </c>
      <c r="CJ72" s="3">
        <f t="shared" si="120"/>
        <v>0.39484815638014015</v>
      </c>
      <c r="CK72" s="3">
        <f t="shared" si="121"/>
        <v>0.39484815638014015</v>
      </c>
      <c r="CL72" s="3">
        <f t="shared" si="122"/>
        <v>0.39484815638014015</v>
      </c>
      <c r="CM72" s="3">
        <f t="shared" si="123"/>
        <v>0.39484815638014015</v>
      </c>
      <c r="CN72" s="3">
        <f t="shared" si="124"/>
        <v>0.39484815638014015</v>
      </c>
      <c r="CO72" s="3">
        <f t="shared" si="125"/>
        <v>0.39484815638014015</v>
      </c>
      <c r="CP72" s="3">
        <f t="shared" si="126"/>
        <v>0.39484815638014015</v>
      </c>
      <c r="CQ72" s="3">
        <f t="shared" si="127"/>
        <v>0.39484815638014015</v>
      </c>
      <c r="CR72" s="3">
        <f t="shared" si="128"/>
        <v>0.39484815638014015</v>
      </c>
      <c r="CS72" s="3">
        <f t="shared" si="129"/>
        <v>0.39484815638014015</v>
      </c>
      <c r="CT72" s="3">
        <f t="shared" si="130"/>
        <v>0.39484815638014015</v>
      </c>
      <c r="CU72" s="3">
        <f t="shared" si="131"/>
        <v>0.39484815638014015</v>
      </c>
      <c r="CW72" s="28"/>
      <c r="CX72" s="3">
        <f t="shared" si="132"/>
        <v>181.54555308595795</v>
      </c>
      <c r="CY72" s="3">
        <f t="shared" si="133"/>
        <v>173.80238309085951</v>
      </c>
      <c r="CZ72" s="3">
        <f t="shared" si="134"/>
        <v>166.10174913752502</v>
      </c>
      <c r="DA72" s="3">
        <f t="shared" si="135"/>
        <v>158.48565639706507</v>
      </c>
      <c r="DB72" s="3">
        <f t="shared" si="136"/>
        <v>150.99505604544822</v>
      </c>
      <c r="DC72" s="3">
        <f t="shared" si="137"/>
        <v>143.66933746749118</v>
      </c>
      <c r="DD72" s="3">
        <f t="shared" si="138"/>
        <v>136.54584304946749</v>
      </c>
      <c r="DE72" s="3">
        <f t="shared" si="139"/>
        <v>129.65941235079126</v>
      </c>
      <c r="DF72" s="3">
        <f t="shared" si="140"/>
        <v>123.04196184362074</v>
      </c>
      <c r="DG72" s="3">
        <f t="shared" si="141"/>
        <v>116.72210569536225</v>
      </c>
      <c r="DH72" s="3">
        <f t="shared" si="142"/>
        <v>110.72482226578826</v>
      </c>
      <c r="DI72" s="3">
        <f t="shared" si="143"/>
        <v>105.07117012286288</v>
      </c>
      <c r="DJ72" s="3">
        <f t="shared" si="144"/>
        <v>99.778056475538676</v>
      </c>
      <c r="DK72" s="3">
        <f t="shared" si="145"/>
        <v>94.858060003888198</v>
      </c>
      <c r="DL72" s="3">
        <f t="shared" si="146"/>
        <v>90.319309162045556</v>
      </c>
      <c r="DM72" s="3">
        <f t="shared" si="147"/>
        <v>86.165416160585593</v>
      </c>
      <c r="DN72" s="3">
        <f t="shared" si="148"/>
        <v>82.395466022310245</v>
      </c>
      <c r="DO72" s="3">
        <f t="shared" si="149"/>
        <v>79.004059365524611</v>
      </c>
      <c r="DP72" s="3">
        <f t="shared" si="150"/>
        <v>75.981406914312032</v>
      </c>
      <c r="DQ72" s="3">
        <f t="shared" si="151"/>
        <v>73.313473174282862</v>
      </c>
      <c r="DR72" s="3">
        <f t="shared" si="152"/>
        <v>70.982166248629397</v>
      </c>
      <c r="DS72" s="3">
        <f t="shared" si="153"/>
        <v>68.965570402694908</v>
      </c>
      <c r="DT72" s="3">
        <f t="shared" si="154"/>
        <v>67.238217711384593</v>
      </c>
      <c r="DU72" s="3">
        <f t="shared" si="155"/>
        <v>65.771394934939991</v>
      </c>
      <c r="DV72" s="3">
        <f t="shared" si="156"/>
        <v>64.533481654415084</v>
      </c>
      <c r="DW72" s="3">
        <f t="shared" si="157"/>
        <v>63.490315646130519</v>
      </c>
      <c r="DX72" s="3">
        <f t="shared" si="158"/>
        <v>62.605581470662685</v>
      </c>
      <c r="DY72" s="3">
        <f t="shared" si="159"/>
        <v>61.841218282297177</v>
      </c>
      <c r="DZ72" s="3">
        <f t="shared" si="160"/>
        <v>61.157842915403378</v>
      </c>
      <c r="EA72" s="3">
        <f t="shared" si="161"/>
        <v>60.51518436198598</v>
      </c>
    </row>
    <row r="73" spans="5:131" x14ac:dyDescent="0.3">
      <c r="E73" s="27"/>
      <c r="F73" s="17">
        <v>300</v>
      </c>
      <c r="G73" s="15">
        <f t="shared" si="164"/>
        <v>287.20458331783169</v>
      </c>
      <c r="H73" s="15">
        <f t="shared" si="165"/>
        <v>274.47945650127718</v>
      </c>
      <c r="I73" s="15">
        <f t="shared" si="166"/>
        <v>261.8940321639696</v>
      </c>
      <c r="J73" s="15">
        <f t="shared" si="167"/>
        <v>249.51598121594628</v>
      </c>
      <c r="K73" s="15">
        <f t="shared" si="168"/>
        <v>237.41039374200503</v>
      </c>
      <c r="L73" s="15">
        <f t="shared" si="169"/>
        <v>225.63897720725103</v>
      </c>
      <c r="M73" s="15">
        <f t="shared" si="170"/>
        <v>214.25930321091414</v>
      </c>
      <c r="N73" s="15">
        <f t="shared" si="171"/>
        <v>203.32411301536479</v>
      </c>
      <c r="O73" s="15">
        <f t="shared" si="172"/>
        <v>192.88069089761206</v>
      </c>
      <c r="P73" s="15">
        <f t="shared" si="173"/>
        <v>182.97031304318824</v>
      </c>
      <c r="Q73" s="15">
        <f t="shared" si="174"/>
        <v>173.62777826859895</v>
      </c>
      <c r="R73" s="15">
        <f t="shared" si="175"/>
        <v>164.88102536165547</v>
      </c>
      <c r="S73" s="15">
        <f t="shared" si="176"/>
        <v>156.75084031219691</v>
      </c>
      <c r="T73" s="15">
        <f t="shared" si="177"/>
        <v>149.25065521039994</v>
      </c>
      <c r="U73" s="15">
        <f t="shared" si="178"/>
        <v>142.38643915412479</v>
      </c>
      <c r="V73" s="15">
        <f t="shared" si="179"/>
        <v>136.15668016384475</v>
      </c>
      <c r="W73" s="15">
        <f t="shared" si="180"/>
        <v>130.55245588106123</v>
      </c>
      <c r="X73" s="15">
        <f t="shared" si="181"/>
        <v>125.55758974443697</v>
      </c>
      <c r="Y73" s="15">
        <f t="shared" si="182"/>
        <v>121.14888841078442</v>
      </c>
      <c r="Z73" s="15">
        <f t="shared" si="183"/>
        <v>117.29645542188662</v>
      </c>
      <c r="AA73" s="15">
        <f t="shared" si="184"/>
        <v>113.9640755122895</v>
      </c>
      <c r="AB73" s="15">
        <f t="shared" si="185"/>
        <v>111.10966350062355</v>
      </c>
      <c r="AC73" s="15">
        <f t="shared" si="186"/>
        <v>108.68577139501505</v>
      </c>
      <c r="AD73" s="15">
        <f t="shared" si="187"/>
        <v>106.64014715446076</v>
      </c>
      <c r="AE73" s="15">
        <f t="shared" si="188"/>
        <v>104.91633846200993</v>
      </c>
      <c r="AF73" s="15">
        <f t="shared" si="189"/>
        <v>103.45433485945031</v>
      </c>
      <c r="AG73" s="15">
        <f t="shared" si="190"/>
        <v>102.19124164338524</v>
      </c>
      <c r="AH73" s="15">
        <f t="shared" si="191"/>
        <v>101.06197900608413</v>
      </c>
      <c r="AI73" s="17">
        <v>100</v>
      </c>
      <c r="AK73" s="28"/>
      <c r="AL73" s="3">
        <f t="shared" si="163"/>
        <v>-1076400000</v>
      </c>
      <c r="AM73" s="3">
        <f t="shared" si="101"/>
        <v>-1030490044.9443803</v>
      </c>
      <c r="AN73" s="3">
        <f t="shared" si="101"/>
        <v>-984832289.92658269</v>
      </c>
      <c r="AO73" s="3">
        <f t="shared" si="101"/>
        <v>-939675787.40432286</v>
      </c>
      <c r="AP73" s="3">
        <f t="shared" si="101"/>
        <v>-895263340.60281527</v>
      </c>
      <c r="AQ73" s="3">
        <f t="shared" si="101"/>
        <v>-851828492.74631393</v>
      </c>
      <c r="AR73" s="3">
        <f t="shared" si="101"/>
        <v>-809592650.21961665</v>
      </c>
      <c r="AS73" s="3">
        <f t="shared" si="101"/>
        <v>-768762379.92075992</v>
      </c>
      <c r="AT73" s="3">
        <f t="shared" si="101"/>
        <v>-729526917.4991287</v>
      </c>
      <c r="AU73" s="3">
        <f t="shared" si="101"/>
        <v>-692055918.94063199</v>
      </c>
      <c r="AV73" s="3">
        <f t="shared" si="101"/>
        <v>-656497483.19895935</v>
      </c>
      <c r="AW73" s="3">
        <f t="shared" si="101"/>
        <v>-622976468.42773306</v>
      </c>
      <c r="AX73" s="3">
        <f t="shared" si="101"/>
        <v>-591593118.99761987</v>
      </c>
      <c r="AY73" s="3">
        <f t="shared" si="101"/>
        <v>-562422015.04016256</v>
      </c>
      <c r="AZ73" s="3">
        <f t="shared" si="101"/>
        <v>-535511350.89491498</v>
      </c>
      <c r="BA73" s="3">
        <f t="shared" si="101"/>
        <v>-510882543.68499964</v>
      </c>
      <c r="BB73" s="3">
        <f t="shared" si="101"/>
        <v>-488530168.42787498</v>
      </c>
      <c r="BC73" s="3">
        <f t="shared" si="101"/>
        <v>-468422211.70124769</v>
      </c>
      <c r="BD73" s="3">
        <f t="shared" si="101"/>
        <v>-450500632.00303984</v>
      </c>
      <c r="BE73" s="3">
        <f t="shared" si="101"/>
        <v>-434682211.61789453</v>
      </c>
      <c r="BF73" s="3">
        <f t="shared" si="101"/>
        <v>-420859682.05372924</v>
      </c>
      <c r="BG73" s="3">
        <f t="shared" si="101"/>
        <v>-408903102.93809474</v>
      </c>
      <c r="BH73" s="3">
        <f t="shared" si="101"/>
        <v>-398661472.64023733</v>
      </c>
      <c r="BI73" s="3">
        <f t="shared" si="101"/>
        <v>-389964547.76531398</v>
      </c>
      <c r="BJ73" s="3">
        <f t="shared" si="101"/>
        <v>-382624847.99020517</v>
      </c>
      <c r="BK73" s="3">
        <f t="shared" si="101"/>
        <v>-376439822.40169156</v>
      </c>
      <c r="BL73" s="3">
        <f t="shared" si="101"/>
        <v>-371194153.47570771</v>
      </c>
      <c r="BM73" s="3">
        <f t="shared" si="101"/>
        <v>-366662175.01646626</v>
      </c>
      <c r="BN73" s="3">
        <f t="shared" si="101"/>
        <v>-362610380.67382985</v>
      </c>
      <c r="BO73" s="3">
        <f t="shared" si="101"/>
        <v>-358800000</v>
      </c>
      <c r="BQ73" s="28"/>
      <c r="BR73" s="3">
        <f t="shared" si="102"/>
        <v>0.39484815638014015</v>
      </c>
      <c r="BS73" s="3">
        <f t="shared" si="103"/>
        <v>0.39484815638014015</v>
      </c>
      <c r="BT73" s="3">
        <f t="shared" si="104"/>
        <v>0.39484815638014015</v>
      </c>
      <c r="BU73" s="3">
        <f t="shared" si="105"/>
        <v>0.39484815638014015</v>
      </c>
      <c r="BV73" s="3">
        <f t="shared" si="106"/>
        <v>0.39484815638014015</v>
      </c>
      <c r="BW73" s="3">
        <f t="shared" si="107"/>
        <v>0.39484815638014015</v>
      </c>
      <c r="BX73" s="3">
        <f t="shared" si="108"/>
        <v>0.39484815638014015</v>
      </c>
      <c r="BY73" s="3">
        <f t="shared" si="109"/>
        <v>0.39484815638014015</v>
      </c>
      <c r="BZ73" s="3">
        <f t="shared" si="110"/>
        <v>0.39484815638014015</v>
      </c>
      <c r="CA73" s="3">
        <f t="shared" si="111"/>
        <v>0.39484815638014015</v>
      </c>
      <c r="CB73" s="3">
        <f t="shared" si="112"/>
        <v>0.39484815638014015</v>
      </c>
      <c r="CC73" s="3">
        <f t="shared" si="113"/>
        <v>0.39484815638014015</v>
      </c>
      <c r="CD73" s="3">
        <f t="shared" si="114"/>
        <v>0.39484815638014015</v>
      </c>
      <c r="CE73" s="3">
        <f t="shared" si="115"/>
        <v>0.39484815638014015</v>
      </c>
      <c r="CF73" s="3">
        <f t="shared" si="116"/>
        <v>0.39484815638014015</v>
      </c>
      <c r="CG73" s="3">
        <f t="shared" si="117"/>
        <v>0.39484815638014015</v>
      </c>
      <c r="CH73" s="3">
        <f t="shared" si="118"/>
        <v>0.39484815638014015</v>
      </c>
      <c r="CI73" s="3">
        <f t="shared" si="119"/>
        <v>0.39484815638014015</v>
      </c>
      <c r="CJ73" s="3">
        <f t="shared" si="120"/>
        <v>0.39484815638014015</v>
      </c>
      <c r="CK73" s="3">
        <f t="shared" si="121"/>
        <v>0.39484815638014015</v>
      </c>
      <c r="CL73" s="3">
        <f t="shared" si="122"/>
        <v>0.39484815638014015</v>
      </c>
      <c r="CM73" s="3">
        <f t="shared" si="123"/>
        <v>0.39484815638014015</v>
      </c>
      <c r="CN73" s="3">
        <f t="shared" si="124"/>
        <v>0.39484815638014015</v>
      </c>
      <c r="CO73" s="3">
        <f t="shared" si="125"/>
        <v>0.39484815638014015</v>
      </c>
      <c r="CP73" s="3">
        <f t="shared" si="126"/>
        <v>0.39484815638014015</v>
      </c>
      <c r="CQ73" s="3">
        <f t="shared" si="127"/>
        <v>0.39484815638014015</v>
      </c>
      <c r="CR73" s="3">
        <f t="shared" si="128"/>
        <v>0.39484815638014015</v>
      </c>
      <c r="CS73" s="3">
        <f t="shared" si="129"/>
        <v>0.39484815638014015</v>
      </c>
      <c r="CT73" s="3">
        <f t="shared" si="130"/>
        <v>0.39484815638014015</v>
      </c>
      <c r="CU73" s="3">
        <f t="shared" si="131"/>
        <v>0.39484815638014015</v>
      </c>
      <c r="CW73" s="28"/>
      <c r="CX73" s="3">
        <f t="shared" si="132"/>
        <v>181.54555308595795</v>
      </c>
      <c r="CY73" s="3">
        <f t="shared" si="133"/>
        <v>173.80238309085951</v>
      </c>
      <c r="CZ73" s="3">
        <f t="shared" si="134"/>
        <v>166.10174913752502</v>
      </c>
      <c r="DA73" s="3">
        <f t="shared" si="135"/>
        <v>158.48565639706507</v>
      </c>
      <c r="DB73" s="3">
        <f t="shared" si="136"/>
        <v>150.99505604544822</v>
      </c>
      <c r="DC73" s="3">
        <f t="shared" si="137"/>
        <v>143.66933746749118</v>
      </c>
      <c r="DD73" s="3">
        <f t="shared" si="138"/>
        <v>136.54584304946749</v>
      </c>
      <c r="DE73" s="3">
        <f t="shared" si="139"/>
        <v>129.65941235079126</v>
      </c>
      <c r="DF73" s="3">
        <f t="shared" si="140"/>
        <v>123.04196184362074</v>
      </c>
      <c r="DG73" s="3">
        <f t="shared" si="141"/>
        <v>116.72210569536226</v>
      </c>
      <c r="DH73" s="3">
        <f t="shared" si="142"/>
        <v>110.72482226578826</v>
      </c>
      <c r="DI73" s="3">
        <f t="shared" si="143"/>
        <v>105.07117012286291</v>
      </c>
      <c r="DJ73" s="3">
        <f t="shared" si="144"/>
        <v>99.778056475538691</v>
      </c>
      <c r="DK73" s="3">
        <f t="shared" si="145"/>
        <v>94.858060003888227</v>
      </c>
      <c r="DL73" s="3">
        <f t="shared" si="146"/>
        <v>90.319309162045585</v>
      </c>
      <c r="DM73" s="3">
        <f t="shared" si="147"/>
        <v>86.165416160585622</v>
      </c>
      <c r="DN73" s="3">
        <f t="shared" si="148"/>
        <v>82.395466022310274</v>
      </c>
      <c r="DO73" s="3">
        <f t="shared" si="149"/>
        <v>79.004059365524625</v>
      </c>
      <c r="DP73" s="3">
        <f t="shared" si="150"/>
        <v>75.981406914312046</v>
      </c>
      <c r="DQ73" s="3">
        <f t="shared" si="151"/>
        <v>73.313473174282876</v>
      </c>
      <c r="DR73" s="3">
        <f t="shared" si="152"/>
        <v>70.982166248629397</v>
      </c>
      <c r="DS73" s="3">
        <f t="shared" si="153"/>
        <v>68.965570402694922</v>
      </c>
      <c r="DT73" s="3">
        <f t="shared" si="154"/>
        <v>67.238217711384607</v>
      </c>
      <c r="DU73" s="3">
        <f t="shared" si="155"/>
        <v>65.771394934939991</v>
      </c>
      <c r="DV73" s="3">
        <f t="shared" si="156"/>
        <v>64.533481654415084</v>
      </c>
      <c r="DW73" s="3">
        <f t="shared" si="157"/>
        <v>63.490315646130519</v>
      </c>
      <c r="DX73" s="3">
        <f t="shared" si="158"/>
        <v>62.605581470662699</v>
      </c>
      <c r="DY73" s="3">
        <f t="shared" si="159"/>
        <v>61.841218282297177</v>
      </c>
      <c r="DZ73" s="3">
        <f t="shared" si="160"/>
        <v>61.157842915403378</v>
      </c>
      <c r="EA73" s="3">
        <f t="shared" si="161"/>
        <v>60.51518436198598</v>
      </c>
    </row>
    <row r="74" spans="5:131" x14ac:dyDescent="0.3">
      <c r="E74" s="27"/>
      <c r="F74" s="17">
        <v>300</v>
      </c>
      <c r="G74" s="15">
        <f t="shared" si="164"/>
        <v>287.20458331783175</v>
      </c>
      <c r="H74" s="15">
        <f t="shared" si="165"/>
        <v>274.47945650127724</v>
      </c>
      <c r="I74" s="15">
        <f t="shared" si="166"/>
        <v>261.8940321639696</v>
      </c>
      <c r="J74" s="15">
        <f t="shared" si="167"/>
        <v>249.51598121594628</v>
      </c>
      <c r="K74" s="15">
        <f t="shared" si="168"/>
        <v>237.41039374200503</v>
      </c>
      <c r="L74" s="15">
        <f t="shared" si="169"/>
        <v>225.63897720725106</v>
      </c>
      <c r="M74" s="15">
        <f t="shared" si="170"/>
        <v>214.25930321091417</v>
      </c>
      <c r="N74" s="15">
        <f t="shared" si="171"/>
        <v>203.32411301536479</v>
      </c>
      <c r="O74" s="15">
        <f t="shared" si="172"/>
        <v>192.88069089761208</v>
      </c>
      <c r="P74" s="15">
        <f t="shared" si="173"/>
        <v>182.9703130431883</v>
      </c>
      <c r="Q74" s="15">
        <f t="shared" si="174"/>
        <v>173.62777826859897</v>
      </c>
      <c r="R74" s="15">
        <f t="shared" si="175"/>
        <v>164.8810253616555</v>
      </c>
      <c r="S74" s="15">
        <f t="shared" si="176"/>
        <v>156.75084031219694</v>
      </c>
      <c r="T74" s="15">
        <f t="shared" si="177"/>
        <v>149.2506552104</v>
      </c>
      <c r="U74" s="15">
        <f t="shared" si="178"/>
        <v>142.38643915412482</v>
      </c>
      <c r="V74" s="15">
        <f t="shared" si="179"/>
        <v>136.15668016384481</v>
      </c>
      <c r="W74" s="15">
        <f t="shared" si="180"/>
        <v>130.55245588106126</v>
      </c>
      <c r="X74" s="15">
        <f t="shared" si="181"/>
        <v>125.557589744437</v>
      </c>
      <c r="Y74" s="15">
        <f t="shared" si="182"/>
        <v>121.14888841078445</v>
      </c>
      <c r="Z74" s="15">
        <f t="shared" si="183"/>
        <v>117.29645542188663</v>
      </c>
      <c r="AA74" s="15">
        <f t="shared" si="184"/>
        <v>113.9640755122895</v>
      </c>
      <c r="AB74" s="15">
        <f t="shared" si="185"/>
        <v>111.10966350062358</v>
      </c>
      <c r="AC74" s="15">
        <f t="shared" si="186"/>
        <v>108.68577139501508</v>
      </c>
      <c r="AD74" s="15">
        <f t="shared" si="187"/>
        <v>106.64014715446078</v>
      </c>
      <c r="AE74" s="15">
        <f t="shared" si="188"/>
        <v>104.91633846200995</v>
      </c>
      <c r="AF74" s="15">
        <f t="shared" si="189"/>
        <v>103.45433485945034</v>
      </c>
      <c r="AG74" s="15">
        <f t="shared" si="190"/>
        <v>102.19124164338524</v>
      </c>
      <c r="AH74" s="15">
        <f t="shared" si="191"/>
        <v>101.06197900608413</v>
      </c>
      <c r="AI74" s="17">
        <v>100</v>
      </c>
      <c r="AK74" s="28"/>
      <c r="AL74" s="3">
        <f t="shared" si="163"/>
        <v>-1076400000</v>
      </c>
      <c r="AM74" s="3">
        <f t="shared" si="101"/>
        <v>-1030490044.9443803</v>
      </c>
      <c r="AN74" s="3">
        <f t="shared" si="101"/>
        <v>-984832289.92658269</v>
      </c>
      <c r="AO74" s="3">
        <f t="shared" si="101"/>
        <v>-939675787.40432286</v>
      </c>
      <c r="AP74" s="3">
        <f t="shared" si="101"/>
        <v>-895263340.60281539</v>
      </c>
      <c r="AQ74" s="3">
        <f t="shared" si="101"/>
        <v>-851828492.74631393</v>
      </c>
      <c r="AR74" s="3">
        <f t="shared" si="101"/>
        <v>-809592650.21961677</v>
      </c>
      <c r="AS74" s="3">
        <f t="shared" si="101"/>
        <v>-768762379.92076015</v>
      </c>
      <c r="AT74" s="3">
        <f t="shared" si="101"/>
        <v>-729526917.49912882</v>
      </c>
      <c r="AU74" s="3">
        <f t="shared" si="101"/>
        <v>-692055918.9406321</v>
      </c>
      <c r="AV74" s="3">
        <f t="shared" si="101"/>
        <v>-656497483.19895947</v>
      </c>
      <c r="AW74" s="3">
        <f t="shared" si="101"/>
        <v>-622976468.42773306</v>
      </c>
      <c r="AX74" s="3">
        <f t="shared" si="101"/>
        <v>-591593118.99761987</v>
      </c>
      <c r="AY74" s="3">
        <f t="shared" si="101"/>
        <v>-562422015.04016268</v>
      </c>
      <c r="AZ74" s="3">
        <f t="shared" si="101"/>
        <v>-535511350.8949151</v>
      </c>
      <c r="BA74" s="3">
        <f t="shared" si="101"/>
        <v>-510882543.68499982</v>
      </c>
      <c r="BB74" s="3">
        <f t="shared" si="101"/>
        <v>-488530168.4278751</v>
      </c>
      <c r="BC74" s="3">
        <f t="shared" si="101"/>
        <v>-468422211.70124781</v>
      </c>
      <c r="BD74" s="3">
        <f t="shared" si="101"/>
        <v>-450500632.00304002</v>
      </c>
      <c r="BE74" s="3">
        <f t="shared" si="101"/>
        <v>-434682211.61789459</v>
      </c>
      <c r="BF74" s="3">
        <f t="shared" si="101"/>
        <v>-420859682.05372924</v>
      </c>
      <c r="BG74" s="3">
        <f t="shared" si="101"/>
        <v>-408903102.93809474</v>
      </c>
      <c r="BH74" s="3">
        <f t="shared" si="101"/>
        <v>-398661472.64023739</v>
      </c>
      <c r="BI74" s="3">
        <f t="shared" si="101"/>
        <v>-389964547.7653141</v>
      </c>
      <c r="BJ74" s="3">
        <f t="shared" si="101"/>
        <v>-382624847.99020529</v>
      </c>
      <c r="BK74" s="3">
        <f t="shared" si="101"/>
        <v>-376439822.40169168</v>
      </c>
      <c r="BL74" s="3">
        <f t="shared" si="101"/>
        <v>-371194153.47570789</v>
      </c>
      <c r="BM74" s="3">
        <f t="shared" si="101"/>
        <v>-366662175.01646632</v>
      </c>
      <c r="BN74" s="3">
        <f t="shared" si="101"/>
        <v>-362610380.67382991</v>
      </c>
      <c r="BO74" s="3">
        <f t="shared" si="101"/>
        <v>-358800000</v>
      </c>
      <c r="BQ74" s="28"/>
      <c r="BR74" s="3">
        <f t="shared" si="102"/>
        <v>0.39484815638014015</v>
      </c>
      <c r="BS74" s="3">
        <f t="shared" si="103"/>
        <v>0.39484815638014015</v>
      </c>
      <c r="BT74" s="3">
        <f t="shared" si="104"/>
        <v>0.39484815638014015</v>
      </c>
      <c r="BU74" s="3">
        <f t="shared" si="105"/>
        <v>0.39484815638014015</v>
      </c>
      <c r="BV74" s="3">
        <f t="shared" si="106"/>
        <v>0.39484815638014015</v>
      </c>
      <c r="BW74" s="3">
        <f t="shared" si="107"/>
        <v>0.39484815638014015</v>
      </c>
      <c r="BX74" s="3">
        <f t="shared" si="108"/>
        <v>0.39484815638014015</v>
      </c>
      <c r="BY74" s="3">
        <f t="shared" si="109"/>
        <v>0.39484815638014015</v>
      </c>
      <c r="BZ74" s="3">
        <f t="shared" si="110"/>
        <v>0.39484815638014015</v>
      </c>
      <c r="CA74" s="3">
        <f t="shared" si="111"/>
        <v>0.39484815638014015</v>
      </c>
      <c r="CB74" s="3">
        <f t="shared" si="112"/>
        <v>0.39484815638014015</v>
      </c>
      <c r="CC74" s="3">
        <f t="shared" si="113"/>
        <v>0.39484815638014015</v>
      </c>
      <c r="CD74" s="3">
        <f t="shared" si="114"/>
        <v>0.39484815638014015</v>
      </c>
      <c r="CE74" s="3">
        <f t="shared" si="115"/>
        <v>0.39484815638014015</v>
      </c>
      <c r="CF74" s="3">
        <f t="shared" si="116"/>
        <v>0.39484815638014015</v>
      </c>
      <c r="CG74" s="3">
        <f t="shared" si="117"/>
        <v>0.39484815638014015</v>
      </c>
      <c r="CH74" s="3">
        <f t="shared" si="118"/>
        <v>0.39484815638014015</v>
      </c>
      <c r="CI74" s="3">
        <f t="shared" si="119"/>
        <v>0.39484815638014015</v>
      </c>
      <c r="CJ74" s="3">
        <f t="shared" si="120"/>
        <v>0.39484815638014015</v>
      </c>
      <c r="CK74" s="3">
        <f t="shared" si="121"/>
        <v>0.39484815638014015</v>
      </c>
      <c r="CL74" s="3">
        <f t="shared" si="122"/>
        <v>0.39484815638014015</v>
      </c>
      <c r="CM74" s="3">
        <f t="shared" si="123"/>
        <v>0.39484815638014015</v>
      </c>
      <c r="CN74" s="3">
        <f t="shared" si="124"/>
        <v>0.39484815638014015</v>
      </c>
      <c r="CO74" s="3">
        <f t="shared" si="125"/>
        <v>0.39484815638014015</v>
      </c>
      <c r="CP74" s="3">
        <f t="shared" si="126"/>
        <v>0.39484815638014015</v>
      </c>
      <c r="CQ74" s="3">
        <f t="shared" si="127"/>
        <v>0.39484815638014015</v>
      </c>
      <c r="CR74" s="3">
        <f t="shared" si="128"/>
        <v>0.39484815638014015</v>
      </c>
      <c r="CS74" s="3">
        <f t="shared" si="129"/>
        <v>0.39484815638014015</v>
      </c>
      <c r="CT74" s="3">
        <f t="shared" si="130"/>
        <v>0.39484815638014015</v>
      </c>
      <c r="CU74" s="3">
        <f t="shared" si="131"/>
        <v>0.39484815638014015</v>
      </c>
      <c r="CW74" s="28"/>
      <c r="CX74" s="3">
        <f t="shared" si="132"/>
        <v>181.54555308595795</v>
      </c>
      <c r="CY74" s="3">
        <f t="shared" si="133"/>
        <v>173.80238309085954</v>
      </c>
      <c r="CZ74" s="3">
        <f t="shared" si="134"/>
        <v>166.10174913752505</v>
      </c>
      <c r="DA74" s="3">
        <f t="shared" si="135"/>
        <v>158.48565639706507</v>
      </c>
      <c r="DB74" s="3">
        <f t="shared" si="136"/>
        <v>150.99505604544822</v>
      </c>
      <c r="DC74" s="3">
        <f t="shared" si="137"/>
        <v>143.66933746749118</v>
      </c>
      <c r="DD74" s="3">
        <f t="shared" si="138"/>
        <v>136.54584304946752</v>
      </c>
      <c r="DE74" s="3">
        <f t="shared" si="139"/>
        <v>129.65941235079129</v>
      </c>
      <c r="DF74" s="3">
        <f t="shared" si="140"/>
        <v>123.04196184362075</v>
      </c>
      <c r="DG74" s="3">
        <f t="shared" si="141"/>
        <v>116.72210569536229</v>
      </c>
      <c r="DH74" s="3">
        <f t="shared" si="142"/>
        <v>110.72482226578829</v>
      </c>
      <c r="DI74" s="3">
        <f t="shared" si="143"/>
        <v>105.07117012286292</v>
      </c>
      <c r="DJ74" s="3">
        <f t="shared" si="144"/>
        <v>99.778056475538705</v>
      </c>
      <c r="DK74" s="3">
        <f t="shared" si="145"/>
        <v>94.858060003888241</v>
      </c>
      <c r="DL74" s="3">
        <f t="shared" si="146"/>
        <v>90.319309162045613</v>
      </c>
      <c r="DM74" s="3">
        <f t="shared" si="147"/>
        <v>86.16541616058565</v>
      </c>
      <c r="DN74" s="3">
        <f t="shared" si="148"/>
        <v>82.395466022310302</v>
      </c>
      <c r="DO74" s="3">
        <f t="shared" si="149"/>
        <v>79.004059365524654</v>
      </c>
      <c r="DP74" s="3">
        <f t="shared" si="150"/>
        <v>75.981406914312075</v>
      </c>
      <c r="DQ74" s="3">
        <f t="shared" si="151"/>
        <v>73.31347317428289</v>
      </c>
      <c r="DR74" s="3">
        <f t="shared" si="152"/>
        <v>70.982166248629412</v>
      </c>
      <c r="DS74" s="3">
        <f t="shared" si="153"/>
        <v>68.965570402694922</v>
      </c>
      <c r="DT74" s="3">
        <f t="shared" si="154"/>
        <v>67.238217711384621</v>
      </c>
      <c r="DU74" s="3">
        <f t="shared" si="155"/>
        <v>65.771394934940005</v>
      </c>
      <c r="DV74" s="3">
        <f t="shared" si="156"/>
        <v>64.533481654415098</v>
      </c>
      <c r="DW74" s="3">
        <f t="shared" si="157"/>
        <v>63.49031564613054</v>
      </c>
      <c r="DX74" s="3">
        <f t="shared" si="158"/>
        <v>62.60558147066272</v>
      </c>
      <c r="DY74" s="3">
        <f t="shared" si="159"/>
        <v>61.841218282297184</v>
      </c>
      <c r="DZ74" s="3">
        <f t="shared" si="160"/>
        <v>61.157842915403393</v>
      </c>
      <c r="EA74" s="3">
        <f t="shared" si="161"/>
        <v>60.51518436198598</v>
      </c>
    </row>
    <row r="75" spans="5:131" x14ac:dyDescent="0.3">
      <c r="E75" s="27"/>
      <c r="F75" s="17">
        <v>300</v>
      </c>
      <c r="G75" s="15">
        <f t="shared" si="164"/>
        <v>287.2045833178318</v>
      </c>
      <c r="H75" s="15">
        <f t="shared" si="165"/>
        <v>274.47945650127724</v>
      </c>
      <c r="I75" s="15">
        <f t="shared" si="166"/>
        <v>261.89403216396965</v>
      </c>
      <c r="J75" s="15">
        <f t="shared" si="167"/>
        <v>249.51598121594634</v>
      </c>
      <c r="K75" s="15">
        <f t="shared" si="168"/>
        <v>237.41039374200508</v>
      </c>
      <c r="L75" s="15">
        <f t="shared" si="169"/>
        <v>225.63897720725109</v>
      </c>
      <c r="M75" s="15">
        <f t="shared" si="170"/>
        <v>214.25930321091425</v>
      </c>
      <c r="N75" s="15">
        <f t="shared" si="171"/>
        <v>203.32411301536484</v>
      </c>
      <c r="O75" s="15">
        <f t="shared" si="172"/>
        <v>192.88069089761211</v>
      </c>
      <c r="P75" s="15">
        <f t="shared" si="173"/>
        <v>182.97031304318836</v>
      </c>
      <c r="Q75" s="15">
        <f t="shared" si="174"/>
        <v>173.627778268599</v>
      </c>
      <c r="R75" s="15">
        <f t="shared" si="175"/>
        <v>164.88102536165553</v>
      </c>
      <c r="S75" s="15">
        <f t="shared" si="176"/>
        <v>156.750840312197</v>
      </c>
      <c r="T75" s="15">
        <f t="shared" si="177"/>
        <v>149.25065521040003</v>
      </c>
      <c r="U75" s="15">
        <f t="shared" si="178"/>
        <v>142.38643915412484</v>
      </c>
      <c r="V75" s="15">
        <f t="shared" si="179"/>
        <v>136.15668016384484</v>
      </c>
      <c r="W75" s="15">
        <f t="shared" si="180"/>
        <v>130.55245588106129</v>
      </c>
      <c r="X75" s="15">
        <f t="shared" si="181"/>
        <v>125.55758974443702</v>
      </c>
      <c r="Y75" s="15">
        <f t="shared" si="182"/>
        <v>121.14888841078448</v>
      </c>
      <c r="Z75" s="15">
        <f t="shared" si="183"/>
        <v>117.29645542188669</v>
      </c>
      <c r="AA75" s="15">
        <f t="shared" si="184"/>
        <v>113.96407551228953</v>
      </c>
      <c r="AB75" s="15">
        <f t="shared" si="185"/>
        <v>111.10966350062358</v>
      </c>
      <c r="AC75" s="15">
        <f t="shared" si="186"/>
        <v>108.6857713950151</v>
      </c>
      <c r="AD75" s="15">
        <f t="shared" si="187"/>
        <v>106.64014715446081</v>
      </c>
      <c r="AE75" s="15">
        <f t="shared" si="188"/>
        <v>104.91633846200997</v>
      </c>
      <c r="AF75" s="15">
        <f t="shared" si="189"/>
        <v>103.45433485945037</v>
      </c>
      <c r="AG75" s="15">
        <f t="shared" si="190"/>
        <v>102.19124164338527</v>
      </c>
      <c r="AH75" s="15">
        <f t="shared" si="191"/>
        <v>101.06197900608416</v>
      </c>
      <c r="AI75" s="17">
        <v>100</v>
      </c>
      <c r="AK75" s="28"/>
      <c r="AL75" s="3">
        <f t="shared" si="163"/>
        <v>-1076400000</v>
      </c>
      <c r="AM75" s="3">
        <f t="shared" si="101"/>
        <v>-1030490044.9443803</v>
      </c>
      <c r="AN75" s="3">
        <f t="shared" si="101"/>
        <v>-984832289.92658269</v>
      </c>
      <c r="AO75" s="3">
        <f t="shared" si="101"/>
        <v>-939675787.40432286</v>
      </c>
      <c r="AP75" s="3">
        <f t="shared" si="101"/>
        <v>-895263340.60281551</v>
      </c>
      <c r="AQ75" s="3">
        <f t="shared" si="101"/>
        <v>-851828492.74631417</v>
      </c>
      <c r="AR75" s="3">
        <f t="shared" si="101"/>
        <v>-809592650.21961689</v>
      </c>
      <c r="AS75" s="3">
        <f t="shared" si="101"/>
        <v>-768762379.92076039</v>
      </c>
      <c r="AT75" s="3">
        <f t="shared" si="101"/>
        <v>-729526917.49912906</v>
      </c>
      <c r="AU75" s="3">
        <f t="shared" si="101"/>
        <v>-692055918.94063234</v>
      </c>
      <c r="AV75" s="3">
        <f t="shared" si="101"/>
        <v>-656497483.19895983</v>
      </c>
      <c r="AW75" s="3">
        <f t="shared" si="101"/>
        <v>-622976468.4277333</v>
      </c>
      <c r="AX75" s="3">
        <f t="shared" si="101"/>
        <v>-591593118.99762011</v>
      </c>
      <c r="AY75" s="3">
        <f t="shared" si="101"/>
        <v>-562422015.0401628</v>
      </c>
      <c r="AZ75" s="3">
        <f t="shared" si="101"/>
        <v>-535511350.89491528</v>
      </c>
      <c r="BA75" s="3">
        <f t="shared" si="101"/>
        <v>-510882543.68499994</v>
      </c>
      <c r="BB75" s="3">
        <f t="shared" si="101"/>
        <v>-488530168.42787528</v>
      </c>
      <c r="BC75" s="3">
        <f t="shared" si="101"/>
        <v>-468422211.70124793</v>
      </c>
      <c r="BD75" s="3">
        <f t="shared" si="101"/>
        <v>-450500632.00304002</v>
      </c>
      <c r="BE75" s="3">
        <f t="shared" si="101"/>
        <v>-434682211.61789471</v>
      </c>
      <c r="BF75" s="3">
        <f t="shared" si="101"/>
        <v>-420859682.05372947</v>
      </c>
      <c r="BG75" s="3">
        <f t="shared" si="101"/>
        <v>-408903102.93809479</v>
      </c>
      <c r="BH75" s="3">
        <f t="shared" si="101"/>
        <v>-398661472.64023739</v>
      </c>
      <c r="BI75" s="3">
        <f t="shared" si="101"/>
        <v>-389964547.76531416</v>
      </c>
      <c r="BJ75" s="3">
        <f t="shared" si="101"/>
        <v>-382624847.99020535</v>
      </c>
      <c r="BK75" s="3">
        <f t="shared" si="101"/>
        <v>-376439822.40169173</v>
      </c>
      <c r="BL75" s="3">
        <f t="shared" si="101"/>
        <v>-371194153.47570795</v>
      </c>
      <c r="BM75" s="3">
        <f t="shared" si="101"/>
        <v>-366662175.01646638</v>
      </c>
      <c r="BN75" s="3">
        <f t="shared" si="101"/>
        <v>-362610380.67382997</v>
      </c>
      <c r="BO75" s="3">
        <f t="shared" si="101"/>
        <v>-358800000</v>
      </c>
      <c r="BQ75" s="28"/>
      <c r="BR75" s="3">
        <f t="shared" si="102"/>
        <v>0.39484815638014015</v>
      </c>
      <c r="BS75" s="3">
        <f t="shared" si="103"/>
        <v>0.39484815638014015</v>
      </c>
      <c r="BT75" s="3">
        <f t="shared" si="104"/>
        <v>0.39484815638014015</v>
      </c>
      <c r="BU75" s="3">
        <f t="shared" si="105"/>
        <v>0.39484815638014015</v>
      </c>
      <c r="BV75" s="3">
        <f t="shared" si="106"/>
        <v>0.39484815638014015</v>
      </c>
      <c r="BW75" s="3">
        <f t="shared" si="107"/>
        <v>0.39484815638014015</v>
      </c>
      <c r="BX75" s="3">
        <f t="shared" si="108"/>
        <v>0.39484815638014015</v>
      </c>
      <c r="BY75" s="3">
        <f t="shared" si="109"/>
        <v>0.39484815638014015</v>
      </c>
      <c r="BZ75" s="3">
        <f t="shared" si="110"/>
        <v>0.39484815638014015</v>
      </c>
      <c r="CA75" s="3">
        <f t="shared" si="111"/>
        <v>0.39484815638014015</v>
      </c>
      <c r="CB75" s="3">
        <f t="shared" si="112"/>
        <v>0.39484815638014015</v>
      </c>
      <c r="CC75" s="3">
        <f t="shared" si="113"/>
        <v>0.39484815638014015</v>
      </c>
      <c r="CD75" s="3">
        <f t="shared" si="114"/>
        <v>0.39484815638014015</v>
      </c>
      <c r="CE75" s="3">
        <f t="shared" si="115"/>
        <v>0.39484815638014015</v>
      </c>
      <c r="CF75" s="3">
        <f t="shared" si="116"/>
        <v>0.39484815638014015</v>
      </c>
      <c r="CG75" s="3">
        <f t="shared" si="117"/>
        <v>0.39484815638014015</v>
      </c>
      <c r="CH75" s="3">
        <f t="shared" si="118"/>
        <v>0.39484815638014015</v>
      </c>
      <c r="CI75" s="3">
        <f t="shared" si="119"/>
        <v>0.39484815638014015</v>
      </c>
      <c r="CJ75" s="3">
        <f t="shared" si="120"/>
        <v>0.39484815638014015</v>
      </c>
      <c r="CK75" s="3">
        <f t="shared" si="121"/>
        <v>0.39484815638014015</v>
      </c>
      <c r="CL75" s="3">
        <f t="shared" si="122"/>
        <v>0.39484815638014015</v>
      </c>
      <c r="CM75" s="3">
        <f t="shared" si="123"/>
        <v>0.39484815638014015</v>
      </c>
      <c r="CN75" s="3">
        <f t="shared" si="124"/>
        <v>0.39484815638014015</v>
      </c>
      <c r="CO75" s="3">
        <f t="shared" si="125"/>
        <v>0.39484815638014015</v>
      </c>
      <c r="CP75" s="3">
        <f t="shared" si="126"/>
        <v>0.39484815638014015</v>
      </c>
      <c r="CQ75" s="3">
        <f t="shared" si="127"/>
        <v>0.39484815638014015</v>
      </c>
      <c r="CR75" s="3">
        <f t="shared" si="128"/>
        <v>0.39484815638014015</v>
      </c>
      <c r="CS75" s="3">
        <f t="shared" si="129"/>
        <v>0.39484815638014015</v>
      </c>
      <c r="CT75" s="3">
        <f t="shared" si="130"/>
        <v>0.39484815638014015</v>
      </c>
      <c r="CU75" s="3">
        <f t="shared" si="131"/>
        <v>0.39484815638014015</v>
      </c>
      <c r="CW75" s="28"/>
      <c r="CX75" s="3">
        <f t="shared" si="132"/>
        <v>181.54555308595795</v>
      </c>
      <c r="CY75" s="3">
        <f t="shared" si="133"/>
        <v>173.80238309085956</v>
      </c>
      <c r="CZ75" s="3">
        <f t="shared" si="134"/>
        <v>166.10174913752508</v>
      </c>
      <c r="DA75" s="3">
        <f t="shared" si="135"/>
        <v>158.4856563970651</v>
      </c>
      <c r="DB75" s="3">
        <f t="shared" si="136"/>
        <v>150.99505604544825</v>
      </c>
      <c r="DC75" s="3">
        <f t="shared" si="137"/>
        <v>143.66933746749123</v>
      </c>
      <c r="DD75" s="3">
        <f t="shared" si="138"/>
        <v>136.54584304946755</v>
      </c>
      <c r="DE75" s="3">
        <f t="shared" si="139"/>
        <v>129.65941235079134</v>
      </c>
      <c r="DF75" s="3">
        <f t="shared" si="140"/>
        <v>123.04196184362078</v>
      </c>
      <c r="DG75" s="3">
        <f t="shared" si="141"/>
        <v>116.72210569536232</v>
      </c>
      <c r="DH75" s="3">
        <f t="shared" si="142"/>
        <v>110.72482226578833</v>
      </c>
      <c r="DI75" s="3">
        <f t="shared" si="143"/>
        <v>105.07117012286295</v>
      </c>
      <c r="DJ75" s="3">
        <f t="shared" si="144"/>
        <v>99.778056475538733</v>
      </c>
      <c r="DK75" s="3">
        <f t="shared" si="145"/>
        <v>94.858060003888284</v>
      </c>
      <c r="DL75" s="3">
        <f t="shared" si="146"/>
        <v>90.319309162045627</v>
      </c>
      <c r="DM75" s="3">
        <f t="shared" si="147"/>
        <v>86.165416160585664</v>
      </c>
      <c r="DN75" s="3">
        <f t="shared" si="148"/>
        <v>82.39546602231033</v>
      </c>
      <c r="DO75" s="3">
        <f t="shared" si="149"/>
        <v>79.004059365524682</v>
      </c>
      <c r="DP75" s="3">
        <f t="shared" si="150"/>
        <v>75.981406914312089</v>
      </c>
      <c r="DQ75" s="3">
        <f t="shared" si="151"/>
        <v>73.313473174282919</v>
      </c>
      <c r="DR75" s="3">
        <f t="shared" si="152"/>
        <v>70.982166248629454</v>
      </c>
      <c r="DS75" s="3">
        <f t="shared" si="153"/>
        <v>68.965570402694937</v>
      </c>
      <c r="DT75" s="3">
        <f t="shared" si="154"/>
        <v>67.238217711384621</v>
      </c>
      <c r="DU75" s="3">
        <f t="shared" si="155"/>
        <v>65.77139493494002</v>
      </c>
      <c r="DV75" s="3">
        <f t="shared" si="156"/>
        <v>64.533481654415112</v>
      </c>
      <c r="DW75" s="3">
        <f t="shared" si="157"/>
        <v>63.490315646130554</v>
      </c>
      <c r="DX75" s="3">
        <f t="shared" si="158"/>
        <v>62.605581470662734</v>
      </c>
      <c r="DY75" s="3">
        <f t="shared" si="159"/>
        <v>61.841218282297199</v>
      </c>
      <c r="DZ75" s="3">
        <f t="shared" si="160"/>
        <v>61.157842915403407</v>
      </c>
      <c r="EA75" s="3">
        <f t="shared" si="161"/>
        <v>60.51518436198598</v>
      </c>
    </row>
    <row r="76" spans="5:131" x14ac:dyDescent="0.3">
      <c r="E76" s="27"/>
      <c r="F76" s="17">
        <v>300</v>
      </c>
      <c r="G76" s="15">
        <f t="shared" si="164"/>
        <v>287.20458331783186</v>
      </c>
      <c r="H76" s="15">
        <f t="shared" si="165"/>
        <v>274.47945650127735</v>
      </c>
      <c r="I76" s="15">
        <f t="shared" si="166"/>
        <v>261.89403216396965</v>
      </c>
      <c r="J76" s="15">
        <f t="shared" si="167"/>
        <v>249.5159812159464</v>
      </c>
      <c r="K76" s="15">
        <f t="shared" si="168"/>
        <v>237.41039374200511</v>
      </c>
      <c r="L76" s="15">
        <f t="shared" si="169"/>
        <v>225.63897720725117</v>
      </c>
      <c r="M76" s="15">
        <f t="shared" si="170"/>
        <v>214.25930321091431</v>
      </c>
      <c r="N76" s="15">
        <f t="shared" si="171"/>
        <v>203.3241130153649</v>
      </c>
      <c r="O76" s="15">
        <f t="shared" si="172"/>
        <v>192.88069089761217</v>
      </c>
      <c r="P76" s="15">
        <f t="shared" si="173"/>
        <v>182.97031304318841</v>
      </c>
      <c r="Q76" s="15">
        <f t="shared" si="174"/>
        <v>173.62777826859906</v>
      </c>
      <c r="R76" s="15">
        <f t="shared" si="175"/>
        <v>164.88102536165559</v>
      </c>
      <c r="S76" s="15">
        <f t="shared" si="176"/>
        <v>156.75084031219706</v>
      </c>
      <c r="T76" s="15">
        <f t="shared" si="177"/>
        <v>149.25065521040005</v>
      </c>
      <c r="U76" s="15">
        <f t="shared" si="178"/>
        <v>142.3864391541249</v>
      </c>
      <c r="V76" s="15">
        <f t="shared" si="179"/>
        <v>136.1566801638449</v>
      </c>
      <c r="W76" s="15">
        <f t="shared" si="180"/>
        <v>130.55245588106135</v>
      </c>
      <c r="X76" s="15">
        <f t="shared" si="181"/>
        <v>125.55758974443708</v>
      </c>
      <c r="Y76" s="15">
        <f t="shared" si="182"/>
        <v>121.14888841078454</v>
      </c>
      <c r="Z76" s="15">
        <f t="shared" si="183"/>
        <v>117.29645542188672</v>
      </c>
      <c r="AA76" s="15">
        <f t="shared" si="184"/>
        <v>113.96407551228955</v>
      </c>
      <c r="AB76" s="15">
        <f t="shared" si="185"/>
        <v>111.10966350062361</v>
      </c>
      <c r="AC76" s="15">
        <f t="shared" si="186"/>
        <v>108.68577139501514</v>
      </c>
      <c r="AD76" s="15">
        <f t="shared" si="187"/>
        <v>106.64014715446083</v>
      </c>
      <c r="AE76" s="15">
        <f t="shared" si="188"/>
        <v>104.91633846201</v>
      </c>
      <c r="AF76" s="15">
        <f t="shared" si="189"/>
        <v>103.4543348594504</v>
      </c>
      <c r="AG76" s="15">
        <f t="shared" si="190"/>
        <v>102.1912416433853</v>
      </c>
      <c r="AH76" s="15">
        <f t="shared" si="191"/>
        <v>101.06197900608416</v>
      </c>
      <c r="AI76" s="17">
        <v>100</v>
      </c>
      <c r="AK76" s="28"/>
      <c r="AL76" s="3">
        <f t="shared" si="163"/>
        <v>-1076400000</v>
      </c>
      <c r="AM76" s="3">
        <f t="shared" si="101"/>
        <v>-1030490044.9443808</v>
      </c>
      <c r="AN76" s="3">
        <f t="shared" si="101"/>
        <v>-984832289.92658317</v>
      </c>
      <c r="AO76" s="3">
        <f t="shared" si="101"/>
        <v>-939675787.4043231</v>
      </c>
      <c r="AP76" s="3">
        <f t="shared" si="101"/>
        <v>-895263340.60281563</v>
      </c>
      <c r="AQ76" s="3">
        <f t="shared" si="101"/>
        <v>-851828492.74631429</v>
      </c>
      <c r="AR76" s="3">
        <f t="shared" si="101"/>
        <v>-809592650.21961725</v>
      </c>
      <c r="AS76" s="3">
        <f t="shared" si="101"/>
        <v>-768762379.92076039</v>
      </c>
      <c r="AT76" s="3">
        <f t="shared" si="101"/>
        <v>-729526917.4991293</v>
      </c>
      <c r="AU76" s="3">
        <f t="shared" si="101"/>
        <v>-692055918.94063258</v>
      </c>
      <c r="AV76" s="3">
        <f t="shared" si="101"/>
        <v>-656497483.19895995</v>
      </c>
      <c r="AW76" s="3">
        <f t="shared" si="101"/>
        <v>-622976468.42773342</v>
      </c>
      <c r="AX76" s="3">
        <f t="shared" si="101"/>
        <v>-591593118.99762034</v>
      </c>
      <c r="AY76" s="3">
        <f t="shared" si="101"/>
        <v>-562422015.04016304</v>
      </c>
      <c r="AZ76" s="3">
        <f t="shared" si="101"/>
        <v>-535511350.8949154</v>
      </c>
      <c r="BA76" s="3">
        <f t="shared" si="101"/>
        <v>-510882543.68500012</v>
      </c>
      <c r="BB76" s="3">
        <f t="shared" si="101"/>
        <v>-488530168.42787546</v>
      </c>
      <c r="BC76" s="3">
        <f t="shared" si="101"/>
        <v>-468422211.70124811</v>
      </c>
      <c r="BD76" s="3">
        <f t="shared" si="101"/>
        <v>-450500632.00304025</v>
      </c>
      <c r="BE76" s="3">
        <f t="shared" si="101"/>
        <v>-434682211.61789483</v>
      </c>
      <c r="BF76" s="3">
        <f t="shared" si="101"/>
        <v>-420859682.05372953</v>
      </c>
      <c r="BG76" s="3">
        <f t="shared" si="101"/>
        <v>-408903102.93809491</v>
      </c>
      <c r="BH76" s="3">
        <f t="shared" si="101"/>
        <v>-398661472.64023751</v>
      </c>
      <c r="BI76" s="3">
        <f t="shared" si="101"/>
        <v>-389964547.76531428</v>
      </c>
      <c r="BJ76" s="3">
        <f t="shared" ref="BJ76:BJ97" si="192">-$C$11*$C$10*AD44/$C$8</f>
        <v>-382624847.99020547</v>
      </c>
      <c r="BK76" s="3">
        <f t="shared" ref="BK76:BK97" si="193">-$C$11*$C$10*AE44/$C$8</f>
        <v>-376439822.40169191</v>
      </c>
      <c r="BL76" s="3">
        <f t="shared" ref="BL76:BL97" si="194">-$C$11*$C$10*AF44/$C$8</f>
        <v>-371194153.47570795</v>
      </c>
      <c r="BM76" s="3">
        <f t="shared" ref="BM76:BM97" si="195">-$C$11*$C$10*AG44/$C$8</f>
        <v>-366662175.01646638</v>
      </c>
      <c r="BN76" s="3">
        <f t="shared" ref="BN76:BN97" si="196">-$C$11*$C$10*AH44/$C$8</f>
        <v>-362610380.67382997</v>
      </c>
      <c r="BO76" s="3">
        <f t="shared" ref="BO76:BO97" si="197">-$C$11*$C$10*AI44/$C$8</f>
        <v>-358800000</v>
      </c>
      <c r="BQ76" s="28"/>
      <c r="BR76" s="3">
        <f t="shared" si="102"/>
        <v>0.39484815638014015</v>
      </c>
      <c r="BS76" s="3">
        <f t="shared" si="103"/>
        <v>0.39484815638014015</v>
      </c>
      <c r="BT76" s="3">
        <f t="shared" si="104"/>
        <v>0.39484815638014015</v>
      </c>
      <c r="BU76" s="3">
        <f t="shared" si="105"/>
        <v>0.39484815638014015</v>
      </c>
      <c r="BV76" s="3">
        <f t="shared" si="106"/>
        <v>0.39484815638014015</v>
      </c>
      <c r="BW76" s="3">
        <f t="shared" si="107"/>
        <v>0.39484815638014015</v>
      </c>
      <c r="BX76" s="3">
        <f t="shared" si="108"/>
        <v>0.39484815638014015</v>
      </c>
      <c r="BY76" s="3">
        <f t="shared" si="109"/>
        <v>0.39484815638014015</v>
      </c>
      <c r="BZ76" s="3">
        <f t="shared" si="110"/>
        <v>0.39484815638014015</v>
      </c>
      <c r="CA76" s="3">
        <f t="shared" si="111"/>
        <v>0.39484815638014015</v>
      </c>
      <c r="CB76" s="3">
        <f t="shared" si="112"/>
        <v>0.39484815638014015</v>
      </c>
      <c r="CC76" s="3">
        <f t="shared" si="113"/>
        <v>0.39484815638014015</v>
      </c>
      <c r="CD76" s="3">
        <f t="shared" si="114"/>
        <v>0.39484815638014015</v>
      </c>
      <c r="CE76" s="3">
        <f t="shared" si="115"/>
        <v>0.39484815638014015</v>
      </c>
      <c r="CF76" s="3">
        <f t="shared" si="116"/>
        <v>0.39484815638014015</v>
      </c>
      <c r="CG76" s="3">
        <f t="shared" si="117"/>
        <v>0.39484815638014015</v>
      </c>
      <c r="CH76" s="3">
        <f t="shared" si="118"/>
        <v>0.39484815638014015</v>
      </c>
      <c r="CI76" s="3">
        <f t="shared" si="119"/>
        <v>0.39484815638014015</v>
      </c>
      <c r="CJ76" s="3">
        <f t="shared" si="120"/>
        <v>0.39484815638014015</v>
      </c>
      <c r="CK76" s="3">
        <f t="shared" si="121"/>
        <v>0.39484815638014015</v>
      </c>
      <c r="CL76" s="3">
        <f t="shared" si="122"/>
        <v>0.39484815638014015</v>
      </c>
      <c r="CM76" s="3">
        <f t="shared" si="123"/>
        <v>0.39484815638014015</v>
      </c>
      <c r="CN76" s="3">
        <f t="shared" si="124"/>
        <v>0.39484815638014015</v>
      </c>
      <c r="CO76" s="3">
        <f t="shared" si="125"/>
        <v>0.39484815638014015</v>
      </c>
      <c r="CP76" s="3">
        <f t="shared" si="126"/>
        <v>0.39484815638014015</v>
      </c>
      <c r="CQ76" s="3">
        <f t="shared" si="127"/>
        <v>0.39484815638014015</v>
      </c>
      <c r="CR76" s="3">
        <f t="shared" si="128"/>
        <v>0.39484815638014015</v>
      </c>
      <c r="CS76" s="3">
        <f t="shared" si="129"/>
        <v>0.39484815638014015</v>
      </c>
      <c r="CT76" s="3">
        <f t="shared" si="130"/>
        <v>0.39484815638014015</v>
      </c>
      <c r="CU76" s="3">
        <f t="shared" si="131"/>
        <v>0.39484815638014015</v>
      </c>
      <c r="CW76" s="28"/>
      <c r="CX76" s="3">
        <f t="shared" si="132"/>
        <v>181.54555308595795</v>
      </c>
      <c r="CY76" s="3">
        <f t="shared" si="133"/>
        <v>173.80238309085959</v>
      </c>
      <c r="CZ76" s="3">
        <f t="shared" si="134"/>
        <v>166.10174913752513</v>
      </c>
      <c r="DA76" s="3">
        <f t="shared" si="135"/>
        <v>158.48565639706513</v>
      </c>
      <c r="DB76" s="3">
        <f t="shared" si="136"/>
        <v>150.99505604544831</v>
      </c>
      <c r="DC76" s="3">
        <f t="shared" si="137"/>
        <v>143.66933746749126</v>
      </c>
      <c r="DD76" s="3">
        <f t="shared" si="138"/>
        <v>136.54584304946761</v>
      </c>
      <c r="DE76" s="3">
        <f t="shared" si="139"/>
        <v>129.65941235079137</v>
      </c>
      <c r="DF76" s="3">
        <f t="shared" si="140"/>
        <v>123.04196184362083</v>
      </c>
      <c r="DG76" s="3">
        <f t="shared" si="141"/>
        <v>116.72210569536236</v>
      </c>
      <c r="DH76" s="3">
        <f t="shared" si="142"/>
        <v>110.72482226578836</v>
      </c>
      <c r="DI76" s="3">
        <f t="shared" si="143"/>
        <v>105.07117012286298</v>
      </c>
      <c r="DJ76" s="3">
        <f t="shared" si="144"/>
        <v>99.778056475538776</v>
      </c>
      <c r="DK76" s="3">
        <f t="shared" si="145"/>
        <v>94.858060003888326</v>
      </c>
      <c r="DL76" s="3">
        <f t="shared" si="146"/>
        <v>90.319309162045656</v>
      </c>
      <c r="DM76" s="3">
        <f t="shared" si="147"/>
        <v>86.165416160585707</v>
      </c>
      <c r="DN76" s="3">
        <f t="shared" si="148"/>
        <v>82.395466022310373</v>
      </c>
      <c r="DO76" s="3">
        <f t="shared" si="149"/>
        <v>79.004059365524697</v>
      </c>
      <c r="DP76" s="3">
        <f t="shared" si="150"/>
        <v>75.981406914312132</v>
      </c>
      <c r="DQ76" s="3">
        <f t="shared" si="151"/>
        <v>73.313473174282947</v>
      </c>
      <c r="DR76" s="3">
        <f t="shared" si="152"/>
        <v>70.982166248629468</v>
      </c>
      <c r="DS76" s="3">
        <f t="shared" si="153"/>
        <v>68.965570402694965</v>
      </c>
      <c r="DT76" s="3">
        <f t="shared" si="154"/>
        <v>67.238217711384635</v>
      </c>
      <c r="DU76" s="3">
        <f t="shared" si="155"/>
        <v>65.771394934940048</v>
      </c>
      <c r="DV76" s="3">
        <f t="shared" si="156"/>
        <v>64.533481654415141</v>
      </c>
      <c r="DW76" s="3">
        <f t="shared" si="157"/>
        <v>63.490315646130576</v>
      </c>
      <c r="DX76" s="3">
        <f t="shared" si="158"/>
        <v>62.605581470662749</v>
      </c>
      <c r="DY76" s="3">
        <f t="shared" si="159"/>
        <v>61.841218282297213</v>
      </c>
      <c r="DZ76" s="3">
        <f t="shared" si="160"/>
        <v>61.157842915403407</v>
      </c>
      <c r="EA76" s="3">
        <f t="shared" si="161"/>
        <v>60.51518436198598</v>
      </c>
    </row>
    <row r="77" spans="5:131" x14ac:dyDescent="0.3">
      <c r="E77" s="27"/>
      <c r="F77" s="17">
        <v>300</v>
      </c>
      <c r="G77" s="15">
        <f t="shared" si="164"/>
        <v>287.20458331783192</v>
      </c>
      <c r="H77" s="15">
        <f t="shared" si="165"/>
        <v>274.47945650127741</v>
      </c>
      <c r="I77" s="15">
        <f t="shared" si="166"/>
        <v>261.89403216396977</v>
      </c>
      <c r="J77" s="15">
        <f t="shared" si="167"/>
        <v>249.51598121594651</v>
      </c>
      <c r="K77" s="15">
        <f t="shared" si="168"/>
        <v>237.41039374200523</v>
      </c>
      <c r="L77" s="15">
        <f t="shared" si="169"/>
        <v>225.63897720725123</v>
      </c>
      <c r="M77" s="15">
        <f t="shared" si="170"/>
        <v>214.2593032109144</v>
      </c>
      <c r="N77" s="15">
        <f t="shared" si="171"/>
        <v>203.32411301536499</v>
      </c>
      <c r="O77" s="15">
        <f t="shared" si="172"/>
        <v>192.88069089761225</v>
      </c>
      <c r="P77" s="15">
        <f t="shared" si="173"/>
        <v>182.97031304318847</v>
      </c>
      <c r="Q77" s="15">
        <f t="shared" si="174"/>
        <v>173.62777826859914</v>
      </c>
      <c r="R77" s="15">
        <f t="shared" si="175"/>
        <v>164.88102536165567</v>
      </c>
      <c r="S77" s="15">
        <f t="shared" si="176"/>
        <v>156.75084031219714</v>
      </c>
      <c r="T77" s="15">
        <f t="shared" si="177"/>
        <v>149.25065521040014</v>
      </c>
      <c r="U77" s="15">
        <f t="shared" si="178"/>
        <v>142.38643915412499</v>
      </c>
      <c r="V77" s="15">
        <f t="shared" si="179"/>
        <v>136.15668016384495</v>
      </c>
      <c r="W77" s="15">
        <f t="shared" si="180"/>
        <v>130.55245588106141</v>
      </c>
      <c r="X77" s="15">
        <f t="shared" si="181"/>
        <v>125.55758974443715</v>
      </c>
      <c r="Y77" s="15">
        <f t="shared" si="182"/>
        <v>121.14888841078459</v>
      </c>
      <c r="Z77" s="15">
        <f t="shared" si="183"/>
        <v>117.29645542188678</v>
      </c>
      <c r="AA77" s="15">
        <f t="shared" si="184"/>
        <v>113.96407551228961</v>
      </c>
      <c r="AB77" s="15">
        <f t="shared" si="185"/>
        <v>111.10966350062367</v>
      </c>
      <c r="AC77" s="15">
        <f t="shared" si="186"/>
        <v>108.68577139501518</v>
      </c>
      <c r="AD77" s="15">
        <f t="shared" si="187"/>
        <v>106.64014715446089</v>
      </c>
      <c r="AE77" s="15">
        <f t="shared" si="188"/>
        <v>104.91633846201003</v>
      </c>
      <c r="AF77" s="15">
        <f t="shared" si="189"/>
        <v>103.45433485945043</v>
      </c>
      <c r="AG77" s="15">
        <f t="shared" si="190"/>
        <v>102.19124164338533</v>
      </c>
      <c r="AH77" s="15">
        <f t="shared" si="191"/>
        <v>101.06197900608419</v>
      </c>
      <c r="AI77" s="17">
        <v>100</v>
      </c>
      <c r="AK77" s="28"/>
      <c r="AL77" s="3">
        <f t="shared" si="163"/>
        <v>-1076400000</v>
      </c>
      <c r="AM77" s="3">
        <f t="shared" ref="AM77:AM97" si="198">-$C$11*$C$10*G45/$C$8</f>
        <v>-1030490044.9443808</v>
      </c>
      <c r="AN77" s="3">
        <f t="shared" ref="AN77:AN97" si="199">-$C$11*$C$10*H45/$C$8</f>
        <v>-984832289.92658341</v>
      </c>
      <c r="AO77" s="3">
        <f t="shared" ref="AO77:AO97" si="200">-$C$11*$C$10*I45/$C$8</f>
        <v>-939675787.40432334</v>
      </c>
      <c r="AP77" s="3">
        <f t="shared" ref="AP77:AP97" si="201">-$C$11*$C$10*J45/$C$8</f>
        <v>-895263340.60281599</v>
      </c>
      <c r="AQ77" s="3">
        <f t="shared" ref="AQ77:AQ97" si="202">-$C$11*$C$10*K45/$C$8</f>
        <v>-851828492.74631464</v>
      </c>
      <c r="AR77" s="3">
        <f t="shared" ref="AR77:AR97" si="203">-$C$11*$C$10*L45/$C$8</f>
        <v>-809592650.21961737</v>
      </c>
      <c r="AS77" s="3">
        <f t="shared" ref="AS77:AS97" si="204">-$C$11*$C$10*M45/$C$8</f>
        <v>-768762379.92076075</v>
      </c>
      <c r="AT77" s="3">
        <f t="shared" ref="AT77:AT97" si="205">-$C$11*$C$10*N45/$C$8</f>
        <v>-729526917.49912953</v>
      </c>
      <c r="AU77" s="3">
        <f t="shared" ref="AU77:AU97" si="206">-$C$11*$C$10*O45/$C$8</f>
        <v>-692055918.94063282</v>
      </c>
      <c r="AV77" s="3">
        <f t="shared" ref="AV77:AV97" si="207">-$C$11*$C$10*P45/$C$8</f>
        <v>-656497483.19896019</v>
      </c>
      <c r="AW77" s="3">
        <f t="shared" ref="AW77:AW97" si="208">-$C$11*$C$10*Q45/$C$8</f>
        <v>-622976468.42773378</v>
      </c>
      <c r="AX77" s="3">
        <f t="shared" ref="AX77:AX97" si="209">-$C$11*$C$10*R45/$C$8</f>
        <v>-591593118.99762058</v>
      </c>
      <c r="AY77" s="3">
        <f t="shared" ref="AY77:AY97" si="210">-$C$11*$C$10*S45/$C$8</f>
        <v>-562422015.04016328</v>
      </c>
      <c r="AZ77" s="3">
        <f t="shared" ref="AZ77:AZ97" si="211">-$C$11*$C$10*T45/$C$8</f>
        <v>-535511350.8949157</v>
      </c>
      <c r="BA77" s="3">
        <f t="shared" ref="BA77:BA97" si="212">-$C$11*$C$10*U45/$C$8</f>
        <v>-510882543.68500036</v>
      </c>
      <c r="BB77" s="3">
        <f t="shared" ref="BB77:BB97" si="213">-$C$11*$C$10*V45/$C$8</f>
        <v>-488530168.4278757</v>
      </c>
      <c r="BC77" s="3">
        <f t="shared" ref="BC77:BC97" si="214">-$C$11*$C$10*W45/$C$8</f>
        <v>-468422211.70124835</v>
      </c>
      <c r="BD77" s="3">
        <f t="shared" ref="BD77:BD97" si="215">-$C$11*$C$10*X45/$C$8</f>
        <v>-450500632.00304049</v>
      </c>
      <c r="BE77" s="3">
        <f t="shared" ref="BE77:BE97" si="216">-$C$11*$C$10*Y45/$C$8</f>
        <v>-434682211.61789513</v>
      </c>
      <c r="BF77" s="3">
        <f t="shared" ref="BF77:BF97" si="217">-$C$11*$C$10*Z45/$C$8</f>
        <v>-420859682.05372983</v>
      </c>
      <c r="BG77" s="3">
        <f t="shared" ref="BG77:BG97" si="218">-$C$11*$C$10*AA45/$C$8</f>
        <v>-408903102.93809515</v>
      </c>
      <c r="BH77" s="3">
        <f t="shared" ref="BH77:BH97" si="219">-$C$11*$C$10*AB45/$C$8</f>
        <v>-398661472.64023775</v>
      </c>
      <c r="BI77" s="3">
        <f t="shared" ref="BI77:BI97" si="220">-$C$11*$C$10*AC45/$C$8</f>
        <v>-389964547.7653144</v>
      </c>
      <c r="BJ77" s="3">
        <f t="shared" si="192"/>
        <v>-382624847.99020565</v>
      </c>
      <c r="BK77" s="3">
        <f t="shared" si="193"/>
        <v>-376439822.40169197</v>
      </c>
      <c r="BL77" s="3">
        <f t="shared" si="194"/>
        <v>-371194153.47570813</v>
      </c>
      <c r="BM77" s="3">
        <f t="shared" si="195"/>
        <v>-366662175.01646656</v>
      </c>
      <c r="BN77" s="3">
        <f t="shared" si="196"/>
        <v>-362610380.67383003</v>
      </c>
      <c r="BO77" s="3">
        <f t="shared" si="197"/>
        <v>-358800000</v>
      </c>
      <c r="BQ77" s="28"/>
      <c r="BR77" s="3">
        <f t="shared" si="102"/>
        <v>0.3948481563801402</v>
      </c>
      <c r="BS77" s="3">
        <f t="shared" si="103"/>
        <v>0.3948481563801402</v>
      </c>
      <c r="BT77" s="3">
        <f t="shared" si="104"/>
        <v>0.3948481563801402</v>
      </c>
      <c r="BU77" s="3">
        <f t="shared" si="105"/>
        <v>0.3948481563801402</v>
      </c>
      <c r="BV77" s="3">
        <f t="shared" si="106"/>
        <v>0.3948481563801402</v>
      </c>
      <c r="BW77" s="3">
        <f t="shared" si="107"/>
        <v>0.3948481563801402</v>
      </c>
      <c r="BX77" s="3">
        <f t="shared" si="108"/>
        <v>0.3948481563801402</v>
      </c>
      <c r="BY77" s="3">
        <f t="shared" si="109"/>
        <v>0.3948481563801402</v>
      </c>
      <c r="BZ77" s="3">
        <f t="shared" si="110"/>
        <v>0.3948481563801402</v>
      </c>
      <c r="CA77" s="3">
        <f t="shared" si="111"/>
        <v>0.3948481563801402</v>
      </c>
      <c r="CB77" s="3">
        <f t="shared" si="112"/>
        <v>0.3948481563801402</v>
      </c>
      <c r="CC77" s="3">
        <f t="shared" si="113"/>
        <v>0.3948481563801402</v>
      </c>
      <c r="CD77" s="3">
        <f t="shared" si="114"/>
        <v>0.3948481563801402</v>
      </c>
      <c r="CE77" s="3">
        <f t="shared" si="115"/>
        <v>0.3948481563801402</v>
      </c>
      <c r="CF77" s="3">
        <f t="shared" si="116"/>
        <v>0.3948481563801402</v>
      </c>
      <c r="CG77" s="3">
        <f t="shared" si="117"/>
        <v>0.3948481563801402</v>
      </c>
      <c r="CH77" s="3">
        <f t="shared" si="118"/>
        <v>0.3948481563801402</v>
      </c>
      <c r="CI77" s="3">
        <f t="shared" si="119"/>
        <v>0.3948481563801402</v>
      </c>
      <c r="CJ77" s="3">
        <f t="shared" si="120"/>
        <v>0.3948481563801402</v>
      </c>
      <c r="CK77" s="3">
        <f t="shared" si="121"/>
        <v>0.3948481563801402</v>
      </c>
      <c r="CL77" s="3">
        <f t="shared" si="122"/>
        <v>0.3948481563801402</v>
      </c>
      <c r="CM77" s="3">
        <f t="shared" si="123"/>
        <v>0.3948481563801402</v>
      </c>
      <c r="CN77" s="3">
        <f t="shared" si="124"/>
        <v>0.3948481563801402</v>
      </c>
      <c r="CO77" s="3">
        <f t="shared" si="125"/>
        <v>0.3948481563801402</v>
      </c>
      <c r="CP77" s="3">
        <f t="shared" si="126"/>
        <v>0.3948481563801402</v>
      </c>
      <c r="CQ77" s="3">
        <f t="shared" si="127"/>
        <v>0.3948481563801402</v>
      </c>
      <c r="CR77" s="3">
        <f t="shared" si="128"/>
        <v>0.3948481563801402</v>
      </c>
      <c r="CS77" s="3">
        <f t="shared" si="129"/>
        <v>0.3948481563801402</v>
      </c>
      <c r="CT77" s="3">
        <f t="shared" si="130"/>
        <v>0.3948481563801402</v>
      </c>
      <c r="CU77" s="3">
        <f t="shared" si="131"/>
        <v>0.3948481563801402</v>
      </c>
      <c r="CW77" s="28"/>
      <c r="CX77" s="3">
        <f t="shared" si="132"/>
        <v>181.54555308595795</v>
      </c>
      <c r="CY77" s="3">
        <f t="shared" si="133"/>
        <v>173.80238309085962</v>
      </c>
      <c r="CZ77" s="3">
        <f t="shared" si="134"/>
        <v>166.10174913752516</v>
      </c>
      <c r="DA77" s="3">
        <f t="shared" si="135"/>
        <v>158.48565639706518</v>
      </c>
      <c r="DB77" s="3">
        <f t="shared" si="136"/>
        <v>150.99505604544837</v>
      </c>
      <c r="DC77" s="3">
        <f t="shared" si="137"/>
        <v>143.66933746749132</v>
      </c>
      <c r="DD77" s="3">
        <f t="shared" si="138"/>
        <v>136.54584304946763</v>
      </c>
      <c r="DE77" s="3">
        <f t="shared" si="139"/>
        <v>129.65941235079143</v>
      </c>
      <c r="DF77" s="3">
        <f t="shared" si="140"/>
        <v>123.04196184362088</v>
      </c>
      <c r="DG77" s="3">
        <f t="shared" si="141"/>
        <v>116.7221056953624</v>
      </c>
      <c r="DH77" s="3">
        <f t="shared" si="142"/>
        <v>110.7248222657884</v>
      </c>
      <c r="DI77" s="3">
        <f t="shared" si="143"/>
        <v>105.07117012286304</v>
      </c>
      <c r="DJ77" s="3">
        <f t="shared" si="144"/>
        <v>99.778056475538818</v>
      </c>
      <c r="DK77" s="3">
        <f t="shared" si="145"/>
        <v>94.858060003888369</v>
      </c>
      <c r="DL77" s="3">
        <f t="shared" si="146"/>
        <v>90.319309162045712</v>
      </c>
      <c r="DM77" s="3">
        <f t="shared" si="147"/>
        <v>86.16541616058575</v>
      </c>
      <c r="DN77" s="3">
        <f t="shared" si="148"/>
        <v>82.395466022310401</v>
      </c>
      <c r="DO77" s="3">
        <f t="shared" si="149"/>
        <v>79.004059365524753</v>
      </c>
      <c r="DP77" s="3">
        <f t="shared" si="150"/>
        <v>75.981406914312174</v>
      </c>
      <c r="DQ77" s="3">
        <f t="shared" si="151"/>
        <v>73.313473174282976</v>
      </c>
      <c r="DR77" s="3">
        <f t="shared" si="152"/>
        <v>70.982166248629511</v>
      </c>
      <c r="DS77" s="3">
        <f t="shared" si="153"/>
        <v>68.965570402695008</v>
      </c>
      <c r="DT77" s="3">
        <f t="shared" si="154"/>
        <v>67.238217711384678</v>
      </c>
      <c r="DU77" s="3">
        <f t="shared" si="155"/>
        <v>65.771394934940076</v>
      </c>
      <c r="DV77" s="3">
        <f t="shared" si="156"/>
        <v>64.533481654415169</v>
      </c>
      <c r="DW77" s="3">
        <f t="shared" si="157"/>
        <v>63.49031564613059</v>
      </c>
      <c r="DX77" s="3">
        <f t="shared" si="158"/>
        <v>62.60558147066277</v>
      </c>
      <c r="DY77" s="3">
        <f t="shared" si="159"/>
        <v>61.841218282297234</v>
      </c>
      <c r="DZ77" s="3">
        <f t="shared" si="160"/>
        <v>61.157842915403414</v>
      </c>
      <c r="EA77" s="3">
        <f t="shared" si="161"/>
        <v>60.51518436198598</v>
      </c>
    </row>
    <row r="78" spans="5:131" x14ac:dyDescent="0.3">
      <c r="E78" s="27"/>
      <c r="F78" s="17">
        <v>300</v>
      </c>
      <c r="G78" s="15">
        <f t="shared" si="164"/>
        <v>287.20458331783198</v>
      </c>
      <c r="H78" s="15">
        <f t="shared" si="165"/>
        <v>274.47945650127747</v>
      </c>
      <c r="I78" s="15">
        <f t="shared" si="166"/>
        <v>261.89403216396988</v>
      </c>
      <c r="J78" s="15">
        <f t="shared" si="167"/>
        <v>249.51598121594662</v>
      </c>
      <c r="K78" s="15">
        <f t="shared" si="168"/>
        <v>237.41039374200534</v>
      </c>
      <c r="L78" s="15">
        <f t="shared" si="169"/>
        <v>225.63897720725134</v>
      </c>
      <c r="M78" s="15">
        <f t="shared" si="170"/>
        <v>214.25930321091448</v>
      </c>
      <c r="N78" s="15">
        <f t="shared" si="171"/>
        <v>203.3241130153651</v>
      </c>
      <c r="O78" s="15">
        <f t="shared" si="172"/>
        <v>192.88069089761237</v>
      </c>
      <c r="P78" s="15">
        <f t="shared" si="173"/>
        <v>182.97031304318855</v>
      </c>
      <c r="Q78" s="15">
        <f t="shared" si="174"/>
        <v>173.62777826859923</v>
      </c>
      <c r="R78" s="15">
        <f t="shared" si="175"/>
        <v>164.88102536165576</v>
      </c>
      <c r="S78" s="15">
        <f t="shared" si="176"/>
        <v>156.75084031219723</v>
      </c>
      <c r="T78" s="15">
        <f t="shared" si="177"/>
        <v>149.25065521040023</v>
      </c>
      <c r="U78" s="15">
        <f t="shared" si="178"/>
        <v>142.38643915412507</v>
      </c>
      <c r="V78" s="15">
        <f t="shared" si="179"/>
        <v>136.15668016384501</v>
      </c>
      <c r="W78" s="15">
        <f t="shared" si="180"/>
        <v>130.55245588106152</v>
      </c>
      <c r="X78" s="15">
        <f t="shared" si="181"/>
        <v>125.55758974443722</v>
      </c>
      <c r="Y78" s="15">
        <f t="shared" si="182"/>
        <v>121.14888841078465</v>
      </c>
      <c r="Z78" s="15">
        <f t="shared" si="183"/>
        <v>117.29645542188683</v>
      </c>
      <c r="AA78" s="15">
        <f t="shared" si="184"/>
        <v>113.96407551228967</v>
      </c>
      <c r="AB78" s="15">
        <f t="shared" si="185"/>
        <v>111.10966350062372</v>
      </c>
      <c r="AC78" s="15">
        <f t="shared" si="186"/>
        <v>108.68577139501522</v>
      </c>
      <c r="AD78" s="15">
        <f t="shared" si="187"/>
        <v>106.64014715446092</v>
      </c>
      <c r="AE78" s="15">
        <f t="shared" si="188"/>
        <v>104.91633846201007</v>
      </c>
      <c r="AF78" s="15">
        <f t="shared" si="189"/>
        <v>103.45433485945047</v>
      </c>
      <c r="AG78" s="15">
        <f t="shared" si="190"/>
        <v>102.19124164338535</v>
      </c>
      <c r="AH78" s="15">
        <f t="shared" si="191"/>
        <v>101.06197900608419</v>
      </c>
      <c r="AI78" s="17">
        <v>100</v>
      </c>
      <c r="AK78" s="28"/>
      <c r="AL78" s="3">
        <f t="shared" si="163"/>
        <v>-1076400000</v>
      </c>
      <c r="AM78" s="3">
        <f t="shared" si="198"/>
        <v>-1030490044.9443809</v>
      </c>
      <c r="AN78" s="3">
        <f t="shared" si="199"/>
        <v>-984832289.92658353</v>
      </c>
      <c r="AO78" s="3">
        <f t="shared" si="200"/>
        <v>-939675787.4043237</v>
      </c>
      <c r="AP78" s="3">
        <f t="shared" si="201"/>
        <v>-895263340.60281622</v>
      </c>
      <c r="AQ78" s="3">
        <f t="shared" si="202"/>
        <v>-851828492.746315</v>
      </c>
      <c r="AR78" s="3">
        <f t="shared" si="203"/>
        <v>-809592650.21961784</v>
      </c>
      <c r="AS78" s="3">
        <f t="shared" si="204"/>
        <v>-768762379.92076111</v>
      </c>
      <c r="AT78" s="3">
        <f t="shared" si="205"/>
        <v>-729526917.49912989</v>
      </c>
      <c r="AU78" s="3">
        <f t="shared" si="206"/>
        <v>-692055918.94063306</v>
      </c>
      <c r="AV78" s="3">
        <f t="shared" si="207"/>
        <v>-656497483.19896042</v>
      </c>
      <c r="AW78" s="3">
        <f t="shared" si="208"/>
        <v>-622976468.42773402</v>
      </c>
      <c r="AX78" s="3">
        <f t="shared" si="209"/>
        <v>-591593118.99762082</v>
      </c>
      <c r="AY78" s="3">
        <f t="shared" si="210"/>
        <v>-562422015.04016352</v>
      </c>
      <c r="AZ78" s="3">
        <f t="shared" si="211"/>
        <v>-535511350.894916</v>
      </c>
      <c r="BA78" s="3">
        <f t="shared" si="212"/>
        <v>-510882543.68500066</v>
      </c>
      <c r="BB78" s="3">
        <f t="shared" si="213"/>
        <v>-488530168.427876</v>
      </c>
      <c r="BC78" s="3">
        <f t="shared" si="214"/>
        <v>-468422211.70124865</v>
      </c>
      <c r="BD78" s="3">
        <f t="shared" si="215"/>
        <v>-450500632.00304073</v>
      </c>
      <c r="BE78" s="3">
        <f t="shared" si="216"/>
        <v>-434682211.61789531</v>
      </c>
      <c r="BF78" s="3">
        <f t="shared" si="217"/>
        <v>-420859682.05372995</v>
      </c>
      <c r="BG78" s="3">
        <f t="shared" si="218"/>
        <v>-408903102.93809533</v>
      </c>
      <c r="BH78" s="3">
        <f t="shared" si="219"/>
        <v>-398661472.64023793</v>
      </c>
      <c r="BI78" s="3">
        <f t="shared" si="220"/>
        <v>-389964547.76531458</v>
      </c>
      <c r="BJ78" s="3">
        <f t="shared" si="192"/>
        <v>-382624847.99020571</v>
      </c>
      <c r="BK78" s="3">
        <f t="shared" si="193"/>
        <v>-376439822.40169209</v>
      </c>
      <c r="BL78" s="3">
        <f t="shared" si="194"/>
        <v>-371194153.47570825</v>
      </c>
      <c r="BM78" s="3">
        <f t="shared" si="195"/>
        <v>-366662175.01646668</v>
      </c>
      <c r="BN78" s="3">
        <f t="shared" si="196"/>
        <v>-362610380.67383003</v>
      </c>
      <c r="BO78" s="3">
        <f t="shared" si="197"/>
        <v>-358800000</v>
      </c>
      <c r="BQ78" s="28"/>
      <c r="BR78" s="3">
        <f t="shared" si="102"/>
        <v>0.39484815638014059</v>
      </c>
      <c r="BS78" s="3">
        <f t="shared" si="103"/>
        <v>0.39484815638014059</v>
      </c>
      <c r="BT78" s="3">
        <f t="shared" si="104"/>
        <v>0.39484815638014059</v>
      </c>
      <c r="BU78" s="3">
        <f t="shared" si="105"/>
        <v>0.39484815638014059</v>
      </c>
      <c r="BV78" s="3">
        <f t="shared" si="106"/>
        <v>0.39484815638014059</v>
      </c>
      <c r="BW78" s="3">
        <f t="shared" si="107"/>
        <v>0.39484815638014059</v>
      </c>
      <c r="BX78" s="3">
        <f t="shared" si="108"/>
        <v>0.39484815638014059</v>
      </c>
      <c r="BY78" s="3">
        <f t="shared" si="109"/>
        <v>0.39484815638014059</v>
      </c>
      <c r="BZ78" s="3">
        <f t="shared" si="110"/>
        <v>0.39484815638014059</v>
      </c>
      <c r="CA78" s="3">
        <f t="shared" si="111"/>
        <v>0.39484815638014059</v>
      </c>
      <c r="CB78" s="3">
        <f t="shared" si="112"/>
        <v>0.39484815638014059</v>
      </c>
      <c r="CC78" s="3">
        <f t="shared" si="113"/>
        <v>0.39484815638014059</v>
      </c>
      <c r="CD78" s="3">
        <f t="shared" si="114"/>
        <v>0.39484815638014059</v>
      </c>
      <c r="CE78" s="3">
        <f t="shared" si="115"/>
        <v>0.39484815638014059</v>
      </c>
      <c r="CF78" s="3">
        <f t="shared" si="116"/>
        <v>0.39484815638014059</v>
      </c>
      <c r="CG78" s="3">
        <f t="shared" si="117"/>
        <v>0.39484815638014059</v>
      </c>
      <c r="CH78" s="3">
        <f t="shared" si="118"/>
        <v>0.39484815638014059</v>
      </c>
      <c r="CI78" s="3">
        <f t="shared" si="119"/>
        <v>0.39484815638014059</v>
      </c>
      <c r="CJ78" s="3">
        <f t="shared" si="120"/>
        <v>0.39484815638014059</v>
      </c>
      <c r="CK78" s="3">
        <f t="shared" si="121"/>
        <v>0.39484815638014059</v>
      </c>
      <c r="CL78" s="3">
        <f t="shared" si="122"/>
        <v>0.39484815638014059</v>
      </c>
      <c r="CM78" s="3">
        <f t="shared" si="123"/>
        <v>0.39484815638014059</v>
      </c>
      <c r="CN78" s="3">
        <f t="shared" si="124"/>
        <v>0.39484815638014059</v>
      </c>
      <c r="CO78" s="3">
        <f t="shared" si="125"/>
        <v>0.39484815638014059</v>
      </c>
      <c r="CP78" s="3">
        <f t="shared" si="126"/>
        <v>0.39484815638014059</v>
      </c>
      <c r="CQ78" s="3">
        <f t="shared" si="127"/>
        <v>0.39484815638014059</v>
      </c>
      <c r="CR78" s="3">
        <f t="shared" si="128"/>
        <v>0.39484815638014059</v>
      </c>
      <c r="CS78" s="3">
        <f t="shared" si="129"/>
        <v>0.39484815638014059</v>
      </c>
      <c r="CT78" s="3">
        <f t="shared" si="130"/>
        <v>0.39484815638014059</v>
      </c>
      <c r="CU78" s="3">
        <f t="shared" si="131"/>
        <v>0.39484815638014059</v>
      </c>
      <c r="CW78" s="28"/>
      <c r="CX78" s="3">
        <f t="shared" si="132"/>
        <v>181.54555308595786</v>
      </c>
      <c r="CY78" s="3">
        <f t="shared" si="133"/>
        <v>173.80238309085956</v>
      </c>
      <c r="CZ78" s="3">
        <f t="shared" si="134"/>
        <v>166.1017491375251</v>
      </c>
      <c r="DA78" s="3">
        <f t="shared" si="135"/>
        <v>158.48565639706516</v>
      </c>
      <c r="DB78" s="3">
        <f t="shared" si="136"/>
        <v>150.99505604544834</v>
      </c>
      <c r="DC78" s="3">
        <f t="shared" si="137"/>
        <v>143.66933746749129</v>
      </c>
      <c r="DD78" s="3">
        <f t="shared" si="138"/>
        <v>136.54584304946763</v>
      </c>
      <c r="DE78" s="3">
        <f t="shared" si="139"/>
        <v>129.6594123507914</v>
      </c>
      <c r="DF78" s="3">
        <f t="shared" si="140"/>
        <v>123.04196184362088</v>
      </c>
      <c r="DG78" s="3">
        <f t="shared" si="141"/>
        <v>116.7221056953624</v>
      </c>
      <c r="DH78" s="3">
        <f t="shared" si="142"/>
        <v>110.72482226578839</v>
      </c>
      <c r="DI78" s="3">
        <f t="shared" si="143"/>
        <v>105.07117012286302</v>
      </c>
      <c r="DJ78" s="3">
        <f t="shared" si="144"/>
        <v>99.778056475538818</v>
      </c>
      <c r="DK78" s="3">
        <f t="shared" si="145"/>
        <v>94.858060003888355</v>
      </c>
      <c r="DL78" s="3">
        <f t="shared" si="146"/>
        <v>90.319309162045712</v>
      </c>
      <c r="DM78" s="3">
        <f t="shared" si="147"/>
        <v>86.16541616058575</v>
      </c>
      <c r="DN78" s="3">
        <f t="shared" si="148"/>
        <v>82.395466022310387</v>
      </c>
      <c r="DO78" s="3">
        <f t="shared" si="149"/>
        <v>79.004059365524768</v>
      </c>
      <c r="DP78" s="3">
        <f t="shared" si="150"/>
        <v>75.981406914312174</v>
      </c>
      <c r="DQ78" s="3">
        <f t="shared" si="151"/>
        <v>73.313473174282976</v>
      </c>
      <c r="DR78" s="3">
        <f t="shared" si="152"/>
        <v>70.982166248629497</v>
      </c>
      <c r="DS78" s="3">
        <f t="shared" si="153"/>
        <v>68.965570402694993</v>
      </c>
      <c r="DT78" s="3">
        <f t="shared" si="154"/>
        <v>67.238217711384664</v>
      </c>
      <c r="DU78" s="3">
        <f t="shared" si="155"/>
        <v>65.771394934940062</v>
      </c>
      <c r="DV78" s="3">
        <f t="shared" si="156"/>
        <v>64.533481654415141</v>
      </c>
      <c r="DW78" s="3">
        <f t="shared" si="157"/>
        <v>63.490315646130576</v>
      </c>
      <c r="DX78" s="3">
        <f t="shared" si="158"/>
        <v>62.605581470662756</v>
      </c>
      <c r="DY78" s="3">
        <f t="shared" si="159"/>
        <v>61.84121828229722</v>
      </c>
      <c r="DZ78" s="3">
        <f t="shared" si="160"/>
        <v>61.157842915403378</v>
      </c>
      <c r="EA78" s="3">
        <f t="shared" si="161"/>
        <v>60.515184361985952</v>
      </c>
    </row>
    <row r="79" spans="5:131" x14ac:dyDescent="0.3">
      <c r="E79" s="27"/>
      <c r="F79" s="17">
        <v>300</v>
      </c>
      <c r="G79" s="15">
        <f t="shared" si="164"/>
        <v>287.20458331783198</v>
      </c>
      <c r="H79" s="15">
        <f t="shared" si="165"/>
        <v>274.47945650127753</v>
      </c>
      <c r="I79" s="15">
        <f t="shared" si="166"/>
        <v>261.89403216396994</v>
      </c>
      <c r="J79" s="15">
        <f t="shared" si="167"/>
        <v>249.51598121594668</v>
      </c>
      <c r="K79" s="15">
        <f t="shared" si="168"/>
        <v>237.41039374200534</v>
      </c>
      <c r="L79" s="15">
        <f t="shared" si="169"/>
        <v>225.6389772072514</v>
      </c>
      <c r="M79" s="15">
        <f t="shared" si="170"/>
        <v>214.25930321091451</v>
      </c>
      <c r="N79" s="15">
        <f t="shared" si="171"/>
        <v>203.32411301536513</v>
      </c>
      <c r="O79" s="15">
        <f t="shared" si="172"/>
        <v>192.88069089761245</v>
      </c>
      <c r="P79" s="15">
        <f t="shared" si="173"/>
        <v>182.97031304318864</v>
      </c>
      <c r="Q79" s="15">
        <f t="shared" si="174"/>
        <v>173.62777826859929</v>
      </c>
      <c r="R79" s="15">
        <f t="shared" si="175"/>
        <v>164.88102536165582</v>
      </c>
      <c r="S79" s="15">
        <f t="shared" si="176"/>
        <v>156.75084031219728</v>
      </c>
      <c r="T79" s="15">
        <f t="shared" si="177"/>
        <v>149.25065521040028</v>
      </c>
      <c r="U79" s="15">
        <f t="shared" si="178"/>
        <v>142.38643915412513</v>
      </c>
      <c r="V79" s="15">
        <f t="shared" si="179"/>
        <v>136.15668016384507</v>
      </c>
      <c r="W79" s="15">
        <f t="shared" si="180"/>
        <v>130.55245588106158</v>
      </c>
      <c r="X79" s="15">
        <f t="shared" si="181"/>
        <v>125.55758974443727</v>
      </c>
      <c r="Y79" s="15">
        <f t="shared" si="182"/>
        <v>121.14888841078471</v>
      </c>
      <c r="Z79" s="15">
        <f t="shared" si="183"/>
        <v>117.29645542188688</v>
      </c>
      <c r="AA79" s="15">
        <f t="shared" si="184"/>
        <v>113.96407551228971</v>
      </c>
      <c r="AB79" s="15">
        <f t="shared" si="185"/>
        <v>111.10966350062375</v>
      </c>
      <c r="AC79" s="15">
        <f t="shared" si="186"/>
        <v>108.68577139501525</v>
      </c>
      <c r="AD79" s="15">
        <f t="shared" si="187"/>
        <v>106.64014715446095</v>
      </c>
      <c r="AE79" s="15">
        <f t="shared" si="188"/>
        <v>104.91633846201009</v>
      </c>
      <c r="AF79" s="15">
        <f t="shared" si="189"/>
        <v>103.45433485945048</v>
      </c>
      <c r="AG79" s="15">
        <f t="shared" si="190"/>
        <v>102.19124164338537</v>
      </c>
      <c r="AH79" s="15">
        <f t="shared" si="191"/>
        <v>101.06197900608419</v>
      </c>
      <c r="AI79" s="17">
        <v>100</v>
      </c>
      <c r="AK79" s="28"/>
      <c r="AL79" s="3">
        <f t="shared" si="163"/>
        <v>-1076400000</v>
      </c>
      <c r="AM79" s="3">
        <f t="shared" si="198"/>
        <v>-1030490044.9443809</v>
      </c>
      <c r="AN79" s="3">
        <f t="shared" si="199"/>
        <v>-984832289.92658377</v>
      </c>
      <c r="AO79" s="3">
        <f t="shared" si="200"/>
        <v>-939675787.40432394</v>
      </c>
      <c r="AP79" s="3">
        <f t="shared" si="201"/>
        <v>-895263340.60281646</v>
      </c>
      <c r="AQ79" s="3">
        <f t="shared" si="202"/>
        <v>-851828492.74631512</v>
      </c>
      <c r="AR79" s="3">
        <f t="shared" si="203"/>
        <v>-809592650.21961784</v>
      </c>
      <c r="AS79" s="3">
        <f t="shared" si="204"/>
        <v>-768762379.92076123</v>
      </c>
      <c r="AT79" s="3">
        <f t="shared" si="205"/>
        <v>-729526917.49913013</v>
      </c>
      <c r="AU79" s="3">
        <f t="shared" si="206"/>
        <v>-692055918.94063342</v>
      </c>
      <c r="AV79" s="3">
        <f t="shared" si="207"/>
        <v>-656497483.19896078</v>
      </c>
      <c r="AW79" s="3">
        <f t="shared" si="208"/>
        <v>-622976468.42773426</v>
      </c>
      <c r="AX79" s="3">
        <f t="shared" si="209"/>
        <v>-591593118.99762106</v>
      </c>
      <c r="AY79" s="3">
        <f t="shared" si="210"/>
        <v>-562422015.04016387</v>
      </c>
      <c r="AZ79" s="3">
        <f t="shared" si="211"/>
        <v>-535511350.89491624</v>
      </c>
      <c r="BA79" s="3">
        <f t="shared" si="212"/>
        <v>-510882543.68500084</v>
      </c>
      <c r="BB79" s="3">
        <f t="shared" si="213"/>
        <v>-488530168.42787611</v>
      </c>
      <c r="BC79" s="3">
        <f t="shared" si="214"/>
        <v>-468422211.70124882</v>
      </c>
      <c r="BD79" s="3">
        <f t="shared" si="215"/>
        <v>-450500632.00304097</v>
      </c>
      <c r="BE79" s="3">
        <f t="shared" si="216"/>
        <v>-434682211.61789548</v>
      </c>
      <c r="BF79" s="3">
        <f t="shared" si="217"/>
        <v>-420859682.05373013</v>
      </c>
      <c r="BG79" s="3">
        <f t="shared" si="218"/>
        <v>-408903102.93809545</v>
      </c>
      <c r="BH79" s="3">
        <f t="shared" si="219"/>
        <v>-398661472.64023805</v>
      </c>
      <c r="BI79" s="3">
        <f t="shared" si="220"/>
        <v>-389964547.7653147</v>
      </c>
      <c r="BJ79" s="3">
        <f t="shared" si="192"/>
        <v>-382624847.99020576</v>
      </c>
      <c r="BK79" s="3">
        <f t="shared" si="193"/>
        <v>-376439822.40169209</v>
      </c>
      <c r="BL79" s="3">
        <f t="shared" si="194"/>
        <v>-371194153.47570825</v>
      </c>
      <c r="BM79" s="3">
        <f t="shared" si="195"/>
        <v>-366662175.01646668</v>
      </c>
      <c r="BN79" s="3">
        <f t="shared" si="196"/>
        <v>-362610380.67383003</v>
      </c>
      <c r="BO79" s="3">
        <f t="shared" si="197"/>
        <v>-358800000</v>
      </c>
      <c r="BQ79" s="28"/>
      <c r="BR79" s="3">
        <f t="shared" si="102"/>
        <v>0.3948481563801427</v>
      </c>
      <c r="BS79" s="3">
        <f t="shared" si="103"/>
        <v>0.3948481563801427</v>
      </c>
      <c r="BT79" s="3">
        <f t="shared" si="104"/>
        <v>0.3948481563801427</v>
      </c>
      <c r="BU79" s="3">
        <f t="shared" si="105"/>
        <v>0.3948481563801427</v>
      </c>
      <c r="BV79" s="3">
        <f t="shared" si="106"/>
        <v>0.3948481563801427</v>
      </c>
      <c r="BW79" s="3">
        <f t="shared" si="107"/>
        <v>0.3948481563801427</v>
      </c>
      <c r="BX79" s="3">
        <f t="shared" si="108"/>
        <v>0.3948481563801427</v>
      </c>
      <c r="BY79" s="3">
        <f t="shared" si="109"/>
        <v>0.3948481563801427</v>
      </c>
      <c r="BZ79" s="3">
        <f t="shared" si="110"/>
        <v>0.3948481563801427</v>
      </c>
      <c r="CA79" s="3">
        <f t="shared" si="111"/>
        <v>0.3948481563801427</v>
      </c>
      <c r="CB79" s="3">
        <f t="shared" si="112"/>
        <v>0.3948481563801427</v>
      </c>
      <c r="CC79" s="3">
        <f t="shared" si="113"/>
        <v>0.3948481563801427</v>
      </c>
      <c r="CD79" s="3">
        <f t="shared" si="114"/>
        <v>0.3948481563801427</v>
      </c>
      <c r="CE79" s="3">
        <f t="shared" si="115"/>
        <v>0.3948481563801427</v>
      </c>
      <c r="CF79" s="3">
        <f t="shared" si="116"/>
        <v>0.3948481563801427</v>
      </c>
      <c r="CG79" s="3">
        <f t="shared" si="117"/>
        <v>0.3948481563801427</v>
      </c>
      <c r="CH79" s="3">
        <f t="shared" si="118"/>
        <v>0.3948481563801427</v>
      </c>
      <c r="CI79" s="3">
        <f t="shared" si="119"/>
        <v>0.3948481563801427</v>
      </c>
      <c r="CJ79" s="3">
        <f t="shared" si="120"/>
        <v>0.3948481563801427</v>
      </c>
      <c r="CK79" s="3">
        <f t="shared" si="121"/>
        <v>0.3948481563801427</v>
      </c>
      <c r="CL79" s="3">
        <f t="shared" si="122"/>
        <v>0.3948481563801427</v>
      </c>
      <c r="CM79" s="3">
        <f t="shared" si="123"/>
        <v>0.3948481563801427</v>
      </c>
      <c r="CN79" s="3">
        <f t="shared" si="124"/>
        <v>0.3948481563801427</v>
      </c>
      <c r="CO79" s="3">
        <f t="shared" si="125"/>
        <v>0.3948481563801427</v>
      </c>
      <c r="CP79" s="3">
        <f t="shared" si="126"/>
        <v>0.3948481563801427</v>
      </c>
      <c r="CQ79" s="3">
        <f t="shared" si="127"/>
        <v>0.3948481563801427</v>
      </c>
      <c r="CR79" s="3">
        <f t="shared" si="128"/>
        <v>0.3948481563801427</v>
      </c>
      <c r="CS79" s="3">
        <f t="shared" si="129"/>
        <v>0.3948481563801427</v>
      </c>
      <c r="CT79" s="3">
        <f t="shared" si="130"/>
        <v>0.3948481563801427</v>
      </c>
      <c r="CU79" s="3">
        <f t="shared" si="131"/>
        <v>0.3948481563801427</v>
      </c>
      <c r="CW79" s="28"/>
      <c r="CX79" s="3">
        <f t="shared" si="132"/>
        <v>181.54555308595724</v>
      </c>
      <c r="CY79" s="3">
        <f t="shared" si="133"/>
        <v>173.80238309085894</v>
      </c>
      <c r="CZ79" s="3">
        <f t="shared" si="134"/>
        <v>166.10174913752456</v>
      </c>
      <c r="DA79" s="3">
        <f t="shared" si="135"/>
        <v>158.48565639706464</v>
      </c>
      <c r="DB79" s="3">
        <f t="shared" si="136"/>
        <v>150.99505604544782</v>
      </c>
      <c r="DC79" s="3">
        <f t="shared" si="137"/>
        <v>143.66933746749078</v>
      </c>
      <c r="DD79" s="3">
        <f t="shared" si="138"/>
        <v>136.54584304946715</v>
      </c>
      <c r="DE79" s="3">
        <f t="shared" si="139"/>
        <v>129.65941235079094</v>
      </c>
      <c r="DF79" s="3">
        <f t="shared" si="140"/>
        <v>123.04196184362046</v>
      </c>
      <c r="DG79" s="3">
        <f t="shared" si="141"/>
        <v>116.72210569536202</v>
      </c>
      <c r="DH79" s="3">
        <f t="shared" si="142"/>
        <v>110.72482226578805</v>
      </c>
      <c r="DI79" s="3">
        <f t="shared" si="143"/>
        <v>105.07117012286268</v>
      </c>
      <c r="DJ79" s="3">
        <f t="shared" si="144"/>
        <v>99.778056475538477</v>
      </c>
      <c r="DK79" s="3">
        <f t="shared" si="145"/>
        <v>94.858060003888056</v>
      </c>
      <c r="DL79" s="3">
        <f t="shared" si="146"/>
        <v>90.319309162045428</v>
      </c>
      <c r="DM79" s="3">
        <f t="shared" si="147"/>
        <v>86.16541616058548</v>
      </c>
      <c r="DN79" s="3">
        <f t="shared" si="148"/>
        <v>82.395466022310117</v>
      </c>
      <c r="DO79" s="3">
        <f t="shared" si="149"/>
        <v>79.004059365524512</v>
      </c>
      <c r="DP79" s="3">
        <f t="shared" si="150"/>
        <v>75.981406914311918</v>
      </c>
      <c r="DQ79" s="3">
        <f t="shared" si="151"/>
        <v>73.313473174282748</v>
      </c>
      <c r="DR79" s="3">
        <f t="shared" si="152"/>
        <v>70.982166248629269</v>
      </c>
      <c r="DS79" s="3">
        <f t="shared" si="153"/>
        <v>68.965570402694766</v>
      </c>
      <c r="DT79" s="3">
        <f t="shared" si="154"/>
        <v>67.238217711384451</v>
      </c>
      <c r="DU79" s="3">
        <f t="shared" si="155"/>
        <v>65.771394934939835</v>
      </c>
      <c r="DV79" s="3">
        <f t="shared" si="156"/>
        <v>64.533481654414928</v>
      </c>
      <c r="DW79" s="3">
        <f t="shared" si="157"/>
        <v>63.490315646130355</v>
      </c>
      <c r="DX79" s="3">
        <f t="shared" si="158"/>
        <v>62.605581470662528</v>
      </c>
      <c r="DY79" s="3">
        <f t="shared" si="159"/>
        <v>61.841218282297</v>
      </c>
      <c r="DZ79" s="3">
        <f t="shared" si="160"/>
        <v>61.157842915403165</v>
      </c>
      <c r="EA79" s="3">
        <f t="shared" si="161"/>
        <v>60.515184361985739</v>
      </c>
    </row>
    <row r="80" spans="5:131" x14ac:dyDescent="0.3">
      <c r="E80" s="27"/>
      <c r="F80" s="17">
        <v>300</v>
      </c>
      <c r="G80" s="15">
        <f t="shared" si="164"/>
        <v>287.20458331783198</v>
      </c>
      <c r="H80" s="15">
        <f t="shared" si="165"/>
        <v>274.47945650127758</v>
      </c>
      <c r="I80" s="15">
        <f t="shared" si="166"/>
        <v>261.89403216396994</v>
      </c>
      <c r="J80" s="15">
        <f t="shared" si="167"/>
        <v>249.51598121594662</v>
      </c>
      <c r="K80" s="15">
        <f t="shared" si="168"/>
        <v>237.41039374200531</v>
      </c>
      <c r="L80" s="15">
        <f t="shared" si="169"/>
        <v>225.6389772072514</v>
      </c>
      <c r="M80" s="15">
        <f t="shared" si="170"/>
        <v>214.25930321091454</v>
      </c>
      <c r="N80" s="15">
        <f t="shared" si="171"/>
        <v>203.32411301536516</v>
      </c>
      <c r="O80" s="15">
        <f t="shared" si="172"/>
        <v>192.88069089761245</v>
      </c>
      <c r="P80" s="15">
        <f t="shared" si="173"/>
        <v>182.97031304318864</v>
      </c>
      <c r="Q80" s="15">
        <f t="shared" si="174"/>
        <v>173.62777826859929</v>
      </c>
      <c r="R80" s="15">
        <f t="shared" si="175"/>
        <v>164.88102536165582</v>
      </c>
      <c r="S80" s="15">
        <f t="shared" si="176"/>
        <v>156.75084031219728</v>
      </c>
      <c r="T80" s="15">
        <f t="shared" si="177"/>
        <v>149.25065521040031</v>
      </c>
      <c r="U80" s="15">
        <f t="shared" si="178"/>
        <v>142.38643915412516</v>
      </c>
      <c r="V80" s="15">
        <f t="shared" si="179"/>
        <v>136.1566801638451</v>
      </c>
      <c r="W80" s="15">
        <f t="shared" si="180"/>
        <v>130.55245588106158</v>
      </c>
      <c r="X80" s="15">
        <f t="shared" si="181"/>
        <v>125.55758974443728</v>
      </c>
      <c r="Y80" s="15">
        <f t="shared" si="182"/>
        <v>121.14888841078474</v>
      </c>
      <c r="Z80" s="15">
        <f t="shared" si="183"/>
        <v>117.29645542188689</v>
      </c>
      <c r="AA80" s="15">
        <f t="shared" si="184"/>
        <v>113.96407551228971</v>
      </c>
      <c r="AB80" s="15">
        <f t="shared" si="185"/>
        <v>111.10966350062377</v>
      </c>
      <c r="AC80" s="15">
        <f t="shared" si="186"/>
        <v>108.68577139501525</v>
      </c>
      <c r="AD80" s="15">
        <f t="shared" si="187"/>
        <v>106.64014715446095</v>
      </c>
      <c r="AE80" s="15">
        <f t="shared" si="188"/>
        <v>104.91633846201009</v>
      </c>
      <c r="AF80" s="15">
        <f t="shared" si="189"/>
        <v>103.45433485945048</v>
      </c>
      <c r="AG80" s="15">
        <f t="shared" si="190"/>
        <v>102.19124164338537</v>
      </c>
      <c r="AH80" s="15">
        <f t="shared" si="191"/>
        <v>101.06197900608419</v>
      </c>
      <c r="AI80" s="17">
        <v>100</v>
      </c>
      <c r="AK80" s="28"/>
      <c r="AL80" s="3">
        <f t="shared" si="163"/>
        <v>-1076400000</v>
      </c>
      <c r="AM80" s="3">
        <f t="shared" si="198"/>
        <v>-1030490044.9443809</v>
      </c>
      <c r="AN80" s="3">
        <f t="shared" si="199"/>
        <v>-984832289.92658377</v>
      </c>
      <c r="AO80" s="3">
        <f t="shared" si="200"/>
        <v>-939675787.40432394</v>
      </c>
      <c r="AP80" s="3">
        <f t="shared" si="201"/>
        <v>-895263340.60281646</v>
      </c>
      <c r="AQ80" s="3">
        <f t="shared" si="202"/>
        <v>-851828492.74631512</v>
      </c>
      <c r="AR80" s="3">
        <f t="shared" si="203"/>
        <v>-809592650.21961796</v>
      </c>
      <c r="AS80" s="3">
        <f t="shared" si="204"/>
        <v>-768762379.92076135</v>
      </c>
      <c r="AT80" s="3">
        <f t="shared" si="205"/>
        <v>-729526917.49913013</v>
      </c>
      <c r="AU80" s="3">
        <f t="shared" si="206"/>
        <v>-692055918.94063342</v>
      </c>
      <c r="AV80" s="3">
        <f t="shared" si="207"/>
        <v>-656497483.19896078</v>
      </c>
      <c r="AW80" s="3">
        <f t="shared" si="208"/>
        <v>-622976468.42773426</v>
      </c>
      <c r="AX80" s="3">
        <f t="shared" si="209"/>
        <v>-591593118.99762106</v>
      </c>
      <c r="AY80" s="3">
        <f t="shared" si="210"/>
        <v>-562422015.04016387</v>
      </c>
      <c r="AZ80" s="3">
        <f t="shared" si="211"/>
        <v>-535511350.8949163</v>
      </c>
      <c r="BA80" s="3">
        <f t="shared" si="212"/>
        <v>-510882543.68500096</v>
      </c>
      <c r="BB80" s="3">
        <f t="shared" si="213"/>
        <v>-488530168.42787617</v>
      </c>
      <c r="BC80" s="3">
        <f t="shared" si="214"/>
        <v>-468422211.70124882</v>
      </c>
      <c r="BD80" s="3">
        <f t="shared" si="215"/>
        <v>-450500632.00304097</v>
      </c>
      <c r="BE80" s="3">
        <f t="shared" si="216"/>
        <v>-434682211.61789554</v>
      </c>
      <c r="BF80" s="3">
        <f t="shared" si="217"/>
        <v>-420859682.05373019</v>
      </c>
      <c r="BG80" s="3">
        <f t="shared" si="218"/>
        <v>-408903102.93809551</v>
      </c>
      <c r="BH80" s="3">
        <f t="shared" si="219"/>
        <v>-398661472.64023811</v>
      </c>
      <c r="BI80" s="3">
        <f t="shared" si="220"/>
        <v>-389964547.7653147</v>
      </c>
      <c r="BJ80" s="3">
        <f t="shared" si="192"/>
        <v>-382624847.99020588</v>
      </c>
      <c r="BK80" s="3">
        <f t="shared" si="193"/>
        <v>-376439822.40169221</v>
      </c>
      <c r="BL80" s="3">
        <f t="shared" si="194"/>
        <v>-371194153.47570825</v>
      </c>
      <c r="BM80" s="3">
        <f t="shared" si="195"/>
        <v>-366662175.01646668</v>
      </c>
      <c r="BN80" s="3">
        <f t="shared" si="196"/>
        <v>-362610380.67383003</v>
      </c>
      <c r="BO80" s="3">
        <f t="shared" si="197"/>
        <v>-358800000</v>
      </c>
      <c r="BQ80" s="28"/>
      <c r="BR80" s="3">
        <f t="shared" si="102"/>
        <v>0.39484815638015619</v>
      </c>
      <c r="BS80" s="3">
        <f t="shared" si="103"/>
        <v>0.39484815638015619</v>
      </c>
      <c r="BT80" s="3">
        <f t="shared" si="104"/>
        <v>0.39484815638015619</v>
      </c>
      <c r="BU80" s="3">
        <f t="shared" si="105"/>
        <v>0.39484815638015619</v>
      </c>
      <c r="BV80" s="3">
        <f t="shared" si="106"/>
        <v>0.39484815638015619</v>
      </c>
      <c r="BW80" s="3">
        <f t="shared" si="107"/>
        <v>0.39484815638015619</v>
      </c>
      <c r="BX80" s="3">
        <f t="shared" si="108"/>
        <v>0.39484815638015619</v>
      </c>
      <c r="BY80" s="3">
        <f t="shared" si="109"/>
        <v>0.39484815638015619</v>
      </c>
      <c r="BZ80" s="3">
        <f t="shared" si="110"/>
        <v>0.39484815638015619</v>
      </c>
      <c r="CA80" s="3">
        <f t="shared" si="111"/>
        <v>0.39484815638015619</v>
      </c>
      <c r="CB80" s="3">
        <f t="shared" si="112"/>
        <v>0.39484815638015619</v>
      </c>
      <c r="CC80" s="3">
        <f t="shared" si="113"/>
        <v>0.39484815638015619</v>
      </c>
      <c r="CD80" s="3">
        <f t="shared" si="114"/>
        <v>0.39484815638015619</v>
      </c>
      <c r="CE80" s="3">
        <f t="shared" si="115"/>
        <v>0.39484815638015619</v>
      </c>
      <c r="CF80" s="3">
        <f t="shared" si="116"/>
        <v>0.39484815638015619</v>
      </c>
      <c r="CG80" s="3">
        <f t="shared" si="117"/>
        <v>0.39484815638015619</v>
      </c>
      <c r="CH80" s="3">
        <f t="shared" si="118"/>
        <v>0.39484815638015619</v>
      </c>
      <c r="CI80" s="3">
        <f t="shared" si="119"/>
        <v>0.39484815638015619</v>
      </c>
      <c r="CJ80" s="3">
        <f t="shared" si="120"/>
        <v>0.39484815638015619</v>
      </c>
      <c r="CK80" s="3">
        <f t="shared" si="121"/>
        <v>0.39484815638015619</v>
      </c>
      <c r="CL80" s="3">
        <f t="shared" si="122"/>
        <v>0.39484815638015619</v>
      </c>
      <c r="CM80" s="3">
        <f t="shared" si="123"/>
        <v>0.39484815638015619</v>
      </c>
      <c r="CN80" s="3">
        <f t="shared" si="124"/>
        <v>0.39484815638015619</v>
      </c>
      <c r="CO80" s="3">
        <f t="shared" si="125"/>
        <v>0.39484815638015619</v>
      </c>
      <c r="CP80" s="3">
        <f t="shared" si="126"/>
        <v>0.39484815638015619</v>
      </c>
      <c r="CQ80" s="3">
        <f t="shared" si="127"/>
        <v>0.39484815638015619</v>
      </c>
      <c r="CR80" s="3">
        <f t="shared" si="128"/>
        <v>0.39484815638015619</v>
      </c>
      <c r="CS80" s="3">
        <f t="shared" si="129"/>
        <v>0.39484815638015619</v>
      </c>
      <c r="CT80" s="3">
        <f t="shared" si="130"/>
        <v>0.39484815638015619</v>
      </c>
      <c r="CU80" s="3">
        <f t="shared" si="131"/>
        <v>0.39484815638015619</v>
      </c>
      <c r="CW80" s="28"/>
      <c r="CX80" s="3">
        <f t="shared" si="132"/>
        <v>181.54555308595315</v>
      </c>
      <c r="CY80" s="3">
        <f t="shared" si="133"/>
        <v>173.80238309085505</v>
      </c>
      <c r="CZ80" s="3">
        <f t="shared" si="134"/>
        <v>166.10174913752084</v>
      </c>
      <c r="DA80" s="3">
        <f t="shared" si="135"/>
        <v>158.48565639706106</v>
      </c>
      <c r="DB80" s="3">
        <f t="shared" si="136"/>
        <v>150.99505604544441</v>
      </c>
      <c r="DC80" s="3">
        <f t="shared" si="137"/>
        <v>143.66933746748754</v>
      </c>
      <c r="DD80" s="3">
        <f t="shared" si="138"/>
        <v>136.54584304946411</v>
      </c>
      <c r="DE80" s="3">
        <f t="shared" si="139"/>
        <v>129.65941235078805</v>
      </c>
      <c r="DF80" s="3">
        <f t="shared" si="140"/>
        <v>123.04196184361771</v>
      </c>
      <c r="DG80" s="3">
        <f t="shared" si="141"/>
        <v>116.72210569535939</v>
      </c>
      <c r="DH80" s="3">
        <f t="shared" si="142"/>
        <v>110.72482226578556</v>
      </c>
      <c r="DI80" s="3">
        <f t="shared" si="143"/>
        <v>105.07117012286032</v>
      </c>
      <c r="DJ80" s="3">
        <f t="shared" si="144"/>
        <v>99.778056475536246</v>
      </c>
      <c r="DK80" s="3">
        <f t="shared" si="145"/>
        <v>94.858060003885925</v>
      </c>
      <c r="DL80" s="3">
        <f t="shared" si="146"/>
        <v>90.31930916204341</v>
      </c>
      <c r="DM80" s="3">
        <f t="shared" si="147"/>
        <v>86.165416160583561</v>
      </c>
      <c r="DN80" s="3">
        <f t="shared" si="148"/>
        <v>82.395466022308298</v>
      </c>
      <c r="DO80" s="3">
        <f t="shared" si="149"/>
        <v>79.004059365522735</v>
      </c>
      <c r="DP80" s="3">
        <f t="shared" si="150"/>
        <v>75.981406914310227</v>
      </c>
      <c r="DQ80" s="3">
        <f t="shared" si="151"/>
        <v>73.313473174281114</v>
      </c>
      <c r="DR80" s="3">
        <f t="shared" si="152"/>
        <v>70.982166248627678</v>
      </c>
      <c r="DS80" s="3">
        <f t="shared" si="153"/>
        <v>68.965570402693217</v>
      </c>
      <c r="DT80" s="3">
        <f t="shared" si="154"/>
        <v>67.238217711382944</v>
      </c>
      <c r="DU80" s="3">
        <f t="shared" si="155"/>
        <v>65.771394934938371</v>
      </c>
      <c r="DV80" s="3">
        <f t="shared" si="156"/>
        <v>64.533481654413492</v>
      </c>
      <c r="DW80" s="3">
        <f t="shared" si="157"/>
        <v>63.490315646128941</v>
      </c>
      <c r="DX80" s="3">
        <f t="shared" si="158"/>
        <v>62.605581470661136</v>
      </c>
      <c r="DY80" s="3">
        <f t="shared" si="159"/>
        <v>61.841218282295614</v>
      </c>
      <c r="DZ80" s="3">
        <f t="shared" si="160"/>
        <v>61.157842915401801</v>
      </c>
      <c r="EA80" s="3">
        <f t="shared" si="161"/>
        <v>60.515184361984382</v>
      </c>
    </row>
    <row r="81" spans="5:131" x14ac:dyDescent="0.3">
      <c r="E81" s="27"/>
      <c r="F81" s="17">
        <v>300</v>
      </c>
      <c r="G81" s="15">
        <f t="shared" si="164"/>
        <v>287.20458331783192</v>
      </c>
      <c r="H81" s="15">
        <f t="shared" si="165"/>
        <v>274.47945650127753</v>
      </c>
      <c r="I81" s="15">
        <f t="shared" si="166"/>
        <v>261.89403216396988</v>
      </c>
      <c r="J81" s="15">
        <f t="shared" si="167"/>
        <v>249.51598121594657</v>
      </c>
      <c r="K81" s="15">
        <f t="shared" si="168"/>
        <v>237.41039374200528</v>
      </c>
      <c r="L81" s="15">
        <f t="shared" si="169"/>
        <v>225.63897720725137</v>
      </c>
      <c r="M81" s="15">
        <f t="shared" si="170"/>
        <v>214.25930321091451</v>
      </c>
      <c r="N81" s="15">
        <f t="shared" si="171"/>
        <v>203.32411301536513</v>
      </c>
      <c r="O81" s="15">
        <f t="shared" si="172"/>
        <v>192.88069089761245</v>
      </c>
      <c r="P81" s="15">
        <f t="shared" si="173"/>
        <v>182.97031304318864</v>
      </c>
      <c r="Q81" s="15">
        <f t="shared" si="174"/>
        <v>173.62777826859929</v>
      </c>
      <c r="R81" s="15">
        <f t="shared" si="175"/>
        <v>164.88102536165582</v>
      </c>
      <c r="S81" s="15">
        <f t="shared" si="176"/>
        <v>156.75084031219728</v>
      </c>
      <c r="T81" s="15">
        <f t="shared" si="177"/>
        <v>149.25065521040031</v>
      </c>
      <c r="U81" s="15">
        <f t="shared" si="178"/>
        <v>142.38643915412516</v>
      </c>
      <c r="V81" s="15">
        <f t="shared" si="179"/>
        <v>136.15668016384512</v>
      </c>
      <c r="W81" s="15">
        <f t="shared" si="180"/>
        <v>130.55245588106158</v>
      </c>
      <c r="X81" s="15">
        <f t="shared" si="181"/>
        <v>125.55758974443728</v>
      </c>
      <c r="Y81" s="15">
        <f t="shared" si="182"/>
        <v>121.14888841078474</v>
      </c>
      <c r="Z81" s="15">
        <f t="shared" si="183"/>
        <v>117.29645542188689</v>
      </c>
      <c r="AA81" s="15">
        <f t="shared" si="184"/>
        <v>113.96407551228971</v>
      </c>
      <c r="AB81" s="15">
        <f t="shared" si="185"/>
        <v>111.10966350062378</v>
      </c>
      <c r="AC81" s="15">
        <f t="shared" si="186"/>
        <v>108.68577139501525</v>
      </c>
      <c r="AD81" s="15">
        <f t="shared" si="187"/>
        <v>106.64014715446095</v>
      </c>
      <c r="AE81" s="15">
        <f t="shared" si="188"/>
        <v>104.91633846201009</v>
      </c>
      <c r="AF81" s="15">
        <f t="shared" si="189"/>
        <v>103.45433485945048</v>
      </c>
      <c r="AG81" s="15">
        <f t="shared" si="190"/>
        <v>102.19124164338537</v>
      </c>
      <c r="AH81" s="15">
        <f t="shared" si="191"/>
        <v>101.06197900608419</v>
      </c>
      <c r="AI81" s="17">
        <v>100</v>
      </c>
      <c r="AK81" s="28"/>
      <c r="AL81" s="3">
        <f t="shared" si="163"/>
        <v>-1076400000</v>
      </c>
      <c r="AM81" s="3">
        <f t="shared" si="198"/>
        <v>-1030490044.9443809</v>
      </c>
      <c r="AN81" s="3">
        <f t="shared" si="199"/>
        <v>-984832289.92658353</v>
      </c>
      <c r="AO81" s="3">
        <f t="shared" si="200"/>
        <v>-939675787.4043237</v>
      </c>
      <c r="AP81" s="3">
        <f t="shared" si="201"/>
        <v>-895263340.60281622</v>
      </c>
      <c r="AQ81" s="3">
        <f t="shared" si="202"/>
        <v>-851828492.746315</v>
      </c>
      <c r="AR81" s="3">
        <f t="shared" si="203"/>
        <v>-809592650.21961784</v>
      </c>
      <c r="AS81" s="3">
        <f t="shared" si="204"/>
        <v>-768762379.92076123</v>
      </c>
      <c r="AT81" s="3">
        <f t="shared" si="205"/>
        <v>-729526917.49913013</v>
      </c>
      <c r="AU81" s="3">
        <f t="shared" si="206"/>
        <v>-692055918.94063342</v>
      </c>
      <c r="AV81" s="3">
        <f t="shared" si="207"/>
        <v>-656497483.19896078</v>
      </c>
      <c r="AW81" s="3">
        <f t="shared" si="208"/>
        <v>-622976468.42773426</v>
      </c>
      <c r="AX81" s="3">
        <f t="shared" si="209"/>
        <v>-591593118.99762106</v>
      </c>
      <c r="AY81" s="3">
        <f t="shared" si="210"/>
        <v>-562422015.04016387</v>
      </c>
      <c r="AZ81" s="3">
        <f t="shared" si="211"/>
        <v>-535511350.8949163</v>
      </c>
      <c r="BA81" s="3">
        <f t="shared" si="212"/>
        <v>-510882543.68500108</v>
      </c>
      <c r="BB81" s="3">
        <f t="shared" si="213"/>
        <v>-488530168.42787629</v>
      </c>
      <c r="BC81" s="3">
        <f t="shared" si="214"/>
        <v>-468422211.70124894</v>
      </c>
      <c r="BD81" s="3">
        <f t="shared" si="215"/>
        <v>-450500632.00304097</v>
      </c>
      <c r="BE81" s="3">
        <f t="shared" si="216"/>
        <v>-434682211.61789554</v>
      </c>
      <c r="BF81" s="3">
        <f t="shared" si="217"/>
        <v>-420859682.05373019</v>
      </c>
      <c r="BG81" s="3">
        <f t="shared" si="218"/>
        <v>-408903102.93809551</v>
      </c>
      <c r="BH81" s="3">
        <f t="shared" si="219"/>
        <v>-398661472.64023811</v>
      </c>
      <c r="BI81" s="3">
        <f t="shared" si="220"/>
        <v>-389964547.7653147</v>
      </c>
      <c r="BJ81" s="3">
        <f t="shared" si="192"/>
        <v>-382624847.99020588</v>
      </c>
      <c r="BK81" s="3">
        <f t="shared" si="193"/>
        <v>-376439822.40169221</v>
      </c>
      <c r="BL81" s="3">
        <f t="shared" si="194"/>
        <v>-371194153.47570825</v>
      </c>
      <c r="BM81" s="3">
        <f t="shared" si="195"/>
        <v>-366662175.01646668</v>
      </c>
      <c r="BN81" s="3">
        <f t="shared" si="196"/>
        <v>-362610380.67383003</v>
      </c>
      <c r="BO81" s="3">
        <f t="shared" si="197"/>
        <v>-358800000</v>
      </c>
      <c r="BQ81" s="28"/>
      <c r="BR81" s="3">
        <f t="shared" si="102"/>
        <v>0.39484815638024295</v>
      </c>
      <c r="BS81" s="3">
        <f t="shared" si="103"/>
        <v>0.39484815638024295</v>
      </c>
      <c r="BT81" s="3">
        <f t="shared" si="104"/>
        <v>0.39484815638024295</v>
      </c>
      <c r="BU81" s="3">
        <f t="shared" si="105"/>
        <v>0.39484815638024295</v>
      </c>
      <c r="BV81" s="3">
        <f t="shared" si="106"/>
        <v>0.39484815638024295</v>
      </c>
      <c r="BW81" s="3">
        <f t="shared" si="107"/>
        <v>0.39484815638024295</v>
      </c>
      <c r="BX81" s="3">
        <f t="shared" si="108"/>
        <v>0.39484815638024295</v>
      </c>
      <c r="BY81" s="3">
        <f t="shared" si="109"/>
        <v>0.39484815638024295</v>
      </c>
      <c r="BZ81" s="3">
        <f t="shared" si="110"/>
        <v>0.39484815638024295</v>
      </c>
      <c r="CA81" s="3">
        <f t="shared" si="111"/>
        <v>0.39484815638024295</v>
      </c>
      <c r="CB81" s="3">
        <f t="shared" si="112"/>
        <v>0.39484815638024295</v>
      </c>
      <c r="CC81" s="3">
        <f t="shared" si="113"/>
        <v>0.39484815638024295</v>
      </c>
      <c r="CD81" s="3">
        <f t="shared" si="114"/>
        <v>0.39484815638024295</v>
      </c>
      <c r="CE81" s="3">
        <f t="shared" si="115"/>
        <v>0.39484815638024295</v>
      </c>
      <c r="CF81" s="3">
        <f t="shared" si="116"/>
        <v>0.39484815638024295</v>
      </c>
      <c r="CG81" s="3">
        <f t="shared" si="117"/>
        <v>0.39484815638024295</v>
      </c>
      <c r="CH81" s="3">
        <f t="shared" si="118"/>
        <v>0.39484815638024295</v>
      </c>
      <c r="CI81" s="3">
        <f t="shared" si="119"/>
        <v>0.39484815638024295</v>
      </c>
      <c r="CJ81" s="3">
        <f t="shared" si="120"/>
        <v>0.39484815638024295</v>
      </c>
      <c r="CK81" s="3">
        <f t="shared" si="121"/>
        <v>0.39484815638024295</v>
      </c>
      <c r="CL81" s="3">
        <f t="shared" si="122"/>
        <v>0.39484815638024295</v>
      </c>
      <c r="CM81" s="3">
        <f t="shared" si="123"/>
        <v>0.39484815638024295</v>
      </c>
      <c r="CN81" s="3">
        <f t="shared" si="124"/>
        <v>0.39484815638024295</v>
      </c>
      <c r="CO81" s="3">
        <f t="shared" si="125"/>
        <v>0.39484815638024295</v>
      </c>
      <c r="CP81" s="3">
        <f t="shared" si="126"/>
        <v>0.39484815638024295</v>
      </c>
      <c r="CQ81" s="3">
        <f t="shared" si="127"/>
        <v>0.39484815638024295</v>
      </c>
      <c r="CR81" s="3">
        <f t="shared" si="128"/>
        <v>0.39484815638024295</v>
      </c>
      <c r="CS81" s="3">
        <f t="shared" si="129"/>
        <v>0.39484815638024295</v>
      </c>
      <c r="CT81" s="3">
        <f t="shared" si="130"/>
        <v>0.39484815638024295</v>
      </c>
      <c r="CU81" s="3">
        <f t="shared" si="131"/>
        <v>0.39484815638024295</v>
      </c>
      <c r="CW81" s="28"/>
      <c r="CX81" s="3">
        <f t="shared" si="132"/>
        <v>181.54555308592711</v>
      </c>
      <c r="CY81" s="3">
        <f t="shared" si="133"/>
        <v>173.80238309083009</v>
      </c>
      <c r="CZ81" s="3">
        <f t="shared" si="134"/>
        <v>166.10174913749699</v>
      </c>
      <c r="DA81" s="3">
        <f t="shared" si="135"/>
        <v>158.4856563970383</v>
      </c>
      <c r="DB81" s="3">
        <f t="shared" si="136"/>
        <v>150.9950560454227</v>
      </c>
      <c r="DC81" s="3">
        <f t="shared" si="137"/>
        <v>143.66933746746693</v>
      </c>
      <c r="DD81" s="3">
        <f t="shared" si="138"/>
        <v>136.5458430494445</v>
      </c>
      <c r="DE81" s="3">
        <f t="shared" si="139"/>
        <v>129.65941235076943</v>
      </c>
      <c r="DF81" s="3">
        <f t="shared" si="140"/>
        <v>123.04196184360005</v>
      </c>
      <c r="DG81" s="3">
        <f t="shared" si="141"/>
        <v>116.72210569534266</v>
      </c>
      <c r="DH81" s="3">
        <f t="shared" si="142"/>
        <v>110.72482226576967</v>
      </c>
      <c r="DI81" s="3">
        <f t="shared" si="143"/>
        <v>105.07117012284525</v>
      </c>
      <c r="DJ81" s="3">
        <f t="shared" si="144"/>
        <v>99.778056475521936</v>
      </c>
      <c r="DK81" s="3">
        <f t="shared" si="145"/>
        <v>94.858060003872325</v>
      </c>
      <c r="DL81" s="3">
        <f t="shared" si="146"/>
        <v>90.31930916203045</v>
      </c>
      <c r="DM81" s="3">
        <f t="shared" si="147"/>
        <v>86.165416160571198</v>
      </c>
      <c r="DN81" s="3">
        <f t="shared" si="148"/>
        <v>82.395466022296475</v>
      </c>
      <c r="DO81" s="3">
        <f t="shared" si="149"/>
        <v>79.004059365511409</v>
      </c>
      <c r="DP81" s="3">
        <f t="shared" si="150"/>
        <v>75.981406914299328</v>
      </c>
      <c r="DQ81" s="3">
        <f t="shared" si="151"/>
        <v>73.313473174270598</v>
      </c>
      <c r="DR81" s="3">
        <f t="shared" si="152"/>
        <v>70.982166248617503</v>
      </c>
      <c r="DS81" s="3">
        <f t="shared" si="153"/>
        <v>68.965570402683326</v>
      </c>
      <c r="DT81" s="3">
        <f t="shared" si="154"/>
        <v>67.238217711373309</v>
      </c>
      <c r="DU81" s="3">
        <f t="shared" si="155"/>
        <v>65.771394934928935</v>
      </c>
      <c r="DV81" s="3">
        <f t="shared" si="156"/>
        <v>64.533481654404241</v>
      </c>
      <c r="DW81" s="3">
        <f t="shared" si="157"/>
        <v>63.490315646119832</v>
      </c>
      <c r="DX81" s="3">
        <f t="shared" si="158"/>
        <v>62.605581470652155</v>
      </c>
      <c r="DY81" s="3">
        <f t="shared" si="159"/>
        <v>61.841218282286746</v>
      </c>
      <c r="DZ81" s="3">
        <f t="shared" si="160"/>
        <v>61.157842915393026</v>
      </c>
      <c r="EA81" s="3">
        <f t="shared" si="161"/>
        <v>60.515184361975692</v>
      </c>
    </row>
    <row r="82" spans="5:131" x14ac:dyDescent="0.3">
      <c r="E82" s="27"/>
      <c r="F82" s="17">
        <v>300</v>
      </c>
      <c r="G82" s="15">
        <f t="shared" si="164"/>
        <v>287.20458331783192</v>
      </c>
      <c r="H82" s="15">
        <f t="shared" si="165"/>
        <v>274.47945650127758</v>
      </c>
      <c r="I82" s="15">
        <f t="shared" si="166"/>
        <v>261.89403216396988</v>
      </c>
      <c r="J82" s="15">
        <f t="shared" si="167"/>
        <v>249.51598121594662</v>
      </c>
      <c r="K82" s="15">
        <f t="shared" si="168"/>
        <v>237.41039374200534</v>
      </c>
      <c r="L82" s="15">
        <f t="shared" si="169"/>
        <v>225.6389772072514</v>
      </c>
      <c r="M82" s="15">
        <f t="shared" si="170"/>
        <v>214.25930321091454</v>
      </c>
      <c r="N82" s="15">
        <f t="shared" si="171"/>
        <v>203.32411301536513</v>
      </c>
      <c r="O82" s="15">
        <f t="shared" si="172"/>
        <v>192.88069089761245</v>
      </c>
      <c r="P82" s="15">
        <f t="shared" si="173"/>
        <v>182.97031304318864</v>
      </c>
      <c r="Q82" s="15">
        <f t="shared" si="174"/>
        <v>173.62777826859929</v>
      </c>
      <c r="R82" s="15">
        <f t="shared" si="175"/>
        <v>164.88102536165587</v>
      </c>
      <c r="S82" s="15">
        <f t="shared" si="176"/>
        <v>156.75084031219731</v>
      </c>
      <c r="T82" s="15">
        <f t="shared" si="177"/>
        <v>149.25065521040034</v>
      </c>
      <c r="U82" s="15">
        <f t="shared" si="178"/>
        <v>142.38643915412518</v>
      </c>
      <c r="V82" s="15">
        <f t="shared" si="179"/>
        <v>136.15668016384512</v>
      </c>
      <c r="W82" s="15">
        <f t="shared" si="180"/>
        <v>130.55245588106158</v>
      </c>
      <c r="X82" s="15">
        <f t="shared" si="181"/>
        <v>125.55758974443731</v>
      </c>
      <c r="Y82" s="15">
        <f t="shared" si="182"/>
        <v>121.14888841078475</v>
      </c>
      <c r="Z82" s="15">
        <f t="shared" si="183"/>
        <v>117.29645542188692</v>
      </c>
      <c r="AA82" s="15">
        <f t="shared" si="184"/>
        <v>113.96407551228972</v>
      </c>
      <c r="AB82" s="15">
        <f t="shared" si="185"/>
        <v>111.10966350062378</v>
      </c>
      <c r="AC82" s="15">
        <f t="shared" si="186"/>
        <v>108.68577139501528</v>
      </c>
      <c r="AD82" s="15">
        <f t="shared" si="187"/>
        <v>106.64014715446098</v>
      </c>
      <c r="AE82" s="15">
        <f t="shared" si="188"/>
        <v>104.91633846201012</v>
      </c>
      <c r="AF82" s="15">
        <f t="shared" si="189"/>
        <v>103.45433485945048</v>
      </c>
      <c r="AG82" s="15">
        <f t="shared" si="190"/>
        <v>102.19124164338537</v>
      </c>
      <c r="AH82" s="15">
        <f t="shared" si="191"/>
        <v>101.0619790060842</v>
      </c>
      <c r="AI82" s="17">
        <v>100</v>
      </c>
      <c r="AK82" s="28"/>
      <c r="AL82" s="3">
        <f t="shared" si="163"/>
        <v>-1076400000</v>
      </c>
      <c r="AM82" s="3">
        <f t="shared" si="198"/>
        <v>-1030490044.9443809</v>
      </c>
      <c r="AN82" s="3">
        <f t="shared" si="199"/>
        <v>-984832289.92658377</v>
      </c>
      <c r="AO82" s="3">
        <f t="shared" si="200"/>
        <v>-939675787.40432394</v>
      </c>
      <c r="AP82" s="3">
        <f t="shared" si="201"/>
        <v>-895263340.60281634</v>
      </c>
      <c r="AQ82" s="3">
        <f t="shared" si="202"/>
        <v>-851828492.74631512</v>
      </c>
      <c r="AR82" s="3">
        <f t="shared" si="203"/>
        <v>-809592650.21961808</v>
      </c>
      <c r="AS82" s="3">
        <f t="shared" si="204"/>
        <v>-768762379.92076135</v>
      </c>
      <c r="AT82" s="3">
        <f t="shared" si="205"/>
        <v>-729526917.49913013</v>
      </c>
      <c r="AU82" s="3">
        <f t="shared" si="206"/>
        <v>-692055918.94063342</v>
      </c>
      <c r="AV82" s="3">
        <f t="shared" si="207"/>
        <v>-656497483.19896078</v>
      </c>
      <c r="AW82" s="3">
        <f t="shared" si="208"/>
        <v>-622976468.42773426</v>
      </c>
      <c r="AX82" s="3">
        <f t="shared" si="209"/>
        <v>-591593118.99762118</v>
      </c>
      <c r="AY82" s="3">
        <f t="shared" si="210"/>
        <v>-562422015.04016399</v>
      </c>
      <c r="AZ82" s="3">
        <f t="shared" si="211"/>
        <v>-535511350.89491642</v>
      </c>
      <c r="BA82" s="3">
        <f t="shared" si="212"/>
        <v>-510882543.68500108</v>
      </c>
      <c r="BB82" s="3">
        <f t="shared" si="213"/>
        <v>-488530168.42787629</v>
      </c>
      <c r="BC82" s="3">
        <f t="shared" si="214"/>
        <v>-468422211.70124894</v>
      </c>
      <c r="BD82" s="3">
        <f t="shared" si="215"/>
        <v>-450500632.00304109</v>
      </c>
      <c r="BE82" s="3">
        <f t="shared" si="216"/>
        <v>-434682211.6178956</v>
      </c>
      <c r="BF82" s="3">
        <f t="shared" si="217"/>
        <v>-420859682.05373019</v>
      </c>
      <c r="BG82" s="3">
        <f t="shared" si="218"/>
        <v>-408903102.93809551</v>
      </c>
      <c r="BH82" s="3">
        <f t="shared" si="219"/>
        <v>-398661472.64023811</v>
      </c>
      <c r="BI82" s="3">
        <f t="shared" si="220"/>
        <v>-389964547.76531482</v>
      </c>
      <c r="BJ82" s="3">
        <f t="shared" si="192"/>
        <v>-382624847.990206</v>
      </c>
      <c r="BK82" s="3">
        <f t="shared" si="193"/>
        <v>-376439822.40169227</v>
      </c>
      <c r="BL82" s="3">
        <f t="shared" si="194"/>
        <v>-371194153.47570831</v>
      </c>
      <c r="BM82" s="3">
        <f t="shared" si="195"/>
        <v>-366662175.01646668</v>
      </c>
      <c r="BN82" s="3">
        <f t="shared" si="196"/>
        <v>-362610380.67383009</v>
      </c>
      <c r="BO82" s="3">
        <f t="shared" si="197"/>
        <v>-358800000</v>
      </c>
      <c r="BQ82" s="28"/>
      <c r="BR82" s="3">
        <f t="shared" si="102"/>
        <v>0.39484815638079979</v>
      </c>
      <c r="BS82" s="3">
        <f t="shared" si="103"/>
        <v>0.39484815638079979</v>
      </c>
      <c r="BT82" s="3">
        <f t="shared" si="104"/>
        <v>0.39484815638079979</v>
      </c>
      <c r="BU82" s="3">
        <f t="shared" si="105"/>
        <v>0.39484815638079979</v>
      </c>
      <c r="BV82" s="3">
        <f t="shared" si="106"/>
        <v>0.39484815638079979</v>
      </c>
      <c r="BW82" s="3">
        <f t="shared" si="107"/>
        <v>0.39484815638079979</v>
      </c>
      <c r="BX82" s="3">
        <f t="shared" si="108"/>
        <v>0.39484815638079979</v>
      </c>
      <c r="BY82" s="3">
        <f t="shared" si="109"/>
        <v>0.39484815638079979</v>
      </c>
      <c r="BZ82" s="3">
        <f t="shared" si="110"/>
        <v>0.39484815638079979</v>
      </c>
      <c r="CA82" s="3">
        <f t="shared" si="111"/>
        <v>0.39484815638079979</v>
      </c>
      <c r="CB82" s="3">
        <f t="shared" si="112"/>
        <v>0.39484815638079979</v>
      </c>
      <c r="CC82" s="3">
        <f t="shared" si="113"/>
        <v>0.39484815638079979</v>
      </c>
      <c r="CD82" s="3">
        <f t="shared" si="114"/>
        <v>0.39484815638079979</v>
      </c>
      <c r="CE82" s="3">
        <f t="shared" si="115"/>
        <v>0.39484815638079979</v>
      </c>
      <c r="CF82" s="3">
        <f t="shared" si="116"/>
        <v>0.39484815638079979</v>
      </c>
      <c r="CG82" s="3">
        <f t="shared" si="117"/>
        <v>0.39484815638079979</v>
      </c>
      <c r="CH82" s="3">
        <f t="shared" si="118"/>
        <v>0.39484815638079979</v>
      </c>
      <c r="CI82" s="3">
        <f t="shared" si="119"/>
        <v>0.39484815638079979</v>
      </c>
      <c r="CJ82" s="3">
        <f t="shared" si="120"/>
        <v>0.39484815638079979</v>
      </c>
      <c r="CK82" s="3">
        <f t="shared" si="121"/>
        <v>0.39484815638079979</v>
      </c>
      <c r="CL82" s="3">
        <f t="shared" si="122"/>
        <v>0.39484815638079979</v>
      </c>
      <c r="CM82" s="3">
        <f t="shared" si="123"/>
        <v>0.39484815638079979</v>
      </c>
      <c r="CN82" s="3">
        <f t="shared" si="124"/>
        <v>0.39484815638079979</v>
      </c>
      <c r="CO82" s="3">
        <f t="shared" si="125"/>
        <v>0.39484815638079979</v>
      </c>
      <c r="CP82" s="3">
        <f t="shared" si="126"/>
        <v>0.39484815638079979</v>
      </c>
      <c r="CQ82" s="3">
        <f t="shared" si="127"/>
        <v>0.39484815638079979</v>
      </c>
      <c r="CR82" s="3">
        <f t="shared" si="128"/>
        <v>0.39484815638079979</v>
      </c>
      <c r="CS82" s="3">
        <f t="shared" si="129"/>
        <v>0.39484815638079979</v>
      </c>
      <c r="CT82" s="3">
        <f t="shared" si="130"/>
        <v>0.39484815638079979</v>
      </c>
      <c r="CU82" s="3">
        <f t="shared" si="131"/>
        <v>0.39484815638079979</v>
      </c>
      <c r="CW82" s="28"/>
      <c r="CX82" s="3">
        <f t="shared" si="132"/>
        <v>181.54555308576008</v>
      </c>
      <c r="CY82" s="3">
        <f t="shared" si="133"/>
        <v>173.80238309067019</v>
      </c>
      <c r="CZ82" s="3">
        <f t="shared" si="134"/>
        <v>166.1017491373442</v>
      </c>
      <c r="DA82" s="3">
        <f t="shared" si="135"/>
        <v>158.48565639689252</v>
      </c>
      <c r="DB82" s="3">
        <f t="shared" si="136"/>
        <v>150.99505604528383</v>
      </c>
      <c r="DC82" s="3">
        <f t="shared" si="137"/>
        <v>143.6693374673348</v>
      </c>
      <c r="DD82" s="3">
        <f t="shared" si="138"/>
        <v>136.5458430493189</v>
      </c>
      <c r="DE82" s="3">
        <f t="shared" si="139"/>
        <v>129.65941235065017</v>
      </c>
      <c r="DF82" s="3">
        <f t="shared" si="140"/>
        <v>123.04196184348685</v>
      </c>
      <c r="DG82" s="3">
        <f t="shared" si="141"/>
        <v>116.72210569523529</v>
      </c>
      <c r="DH82" s="3">
        <f t="shared" si="142"/>
        <v>110.72482226566781</v>
      </c>
      <c r="DI82" s="3">
        <f t="shared" si="143"/>
        <v>105.07117012274858</v>
      </c>
      <c r="DJ82" s="3">
        <f t="shared" si="144"/>
        <v>99.778056475430162</v>
      </c>
      <c r="DK82" s="3">
        <f t="shared" si="145"/>
        <v>94.85806000378507</v>
      </c>
      <c r="DL82" s="3">
        <f t="shared" si="146"/>
        <v>90.319309161947373</v>
      </c>
      <c r="DM82" s="3">
        <f t="shared" si="147"/>
        <v>86.16541616049193</v>
      </c>
      <c r="DN82" s="3">
        <f t="shared" si="148"/>
        <v>82.395466022220674</v>
      </c>
      <c r="DO82" s="3">
        <f t="shared" si="149"/>
        <v>79.004059365438721</v>
      </c>
      <c r="DP82" s="3">
        <f t="shared" si="150"/>
        <v>75.981406914229439</v>
      </c>
      <c r="DQ82" s="3">
        <f t="shared" si="151"/>
        <v>73.313473174203153</v>
      </c>
      <c r="DR82" s="3">
        <f t="shared" si="152"/>
        <v>70.982166248552204</v>
      </c>
      <c r="DS82" s="3">
        <f t="shared" si="153"/>
        <v>68.965570402619875</v>
      </c>
      <c r="DT82" s="3">
        <f t="shared" si="154"/>
        <v>67.238217711311449</v>
      </c>
      <c r="DU82" s="3">
        <f t="shared" si="155"/>
        <v>65.771394934868439</v>
      </c>
      <c r="DV82" s="3">
        <f t="shared" si="156"/>
        <v>64.533481654344882</v>
      </c>
      <c r="DW82" s="3">
        <f t="shared" si="157"/>
        <v>63.490315646061433</v>
      </c>
      <c r="DX82" s="3">
        <f t="shared" si="158"/>
        <v>62.605581470594558</v>
      </c>
      <c r="DY82" s="3">
        <f t="shared" si="159"/>
        <v>61.841218282229846</v>
      </c>
      <c r="DZ82" s="3">
        <f t="shared" si="160"/>
        <v>61.157842915336765</v>
      </c>
      <c r="EA82" s="3">
        <f t="shared" si="161"/>
        <v>60.515184361920028</v>
      </c>
    </row>
    <row r="83" spans="5:131" x14ac:dyDescent="0.3">
      <c r="E83" s="27"/>
      <c r="F83" s="17">
        <v>300</v>
      </c>
      <c r="G83" s="15">
        <f t="shared" si="164"/>
        <v>287.20458331783198</v>
      </c>
      <c r="H83" s="15">
        <f t="shared" si="165"/>
        <v>274.47945650127758</v>
      </c>
      <c r="I83" s="15">
        <f t="shared" si="166"/>
        <v>261.89403216396988</v>
      </c>
      <c r="J83" s="15">
        <f t="shared" si="167"/>
        <v>249.51598121594662</v>
      </c>
      <c r="K83" s="15">
        <f t="shared" si="168"/>
        <v>237.41039374200537</v>
      </c>
      <c r="L83" s="15">
        <f t="shared" si="169"/>
        <v>225.63897720725146</v>
      </c>
      <c r="M83" s="15">
        <f t="shared" si="170"/>
        <v>214.25930321091457</v>
      </c>
      <c r="N83" s="15">
        <f t="shared" si="171"/>
        <v>203.32411301536513</v>
      </c>
      <c r="O83" s="15">
        <f t="shared" si="172"/>
        <v>192.88069089761245</v>
      </c>
      <c r="P83" s="15">
        <f t="shared" si="173"/>
        <v>182.97031304318864</v>
      </c>
      <c r="Q83" s="15">
        <f t="shared" si="174"/>
        <v>173.62777826859929</v>
      </c>
      <c r="R83" s="15">
        <f t="shared" si="175"/>
        <v>164.88102536165587</v>
      </c>
      <c r="S83" s="15">
        <f t="shared" si="176"/>
        <v>156.75084031219734</v>
      </c>
      <c r="T83" s="15">
        <f t="shared" si="177"/>
        <v>149.25065521040034</v>
      </c>
      <c r="U83" s="15">
        <f t="shared" si="178"/>
        <v>142.38643915412518</v>
      </c>
      <c r="V83" s="15">
        <f t="shared" si="179"/>
        <v>136.15668016384512</v>
      </c>
      <c r="W83" s="15">
        <f t="shared" si="180"/>
        <v>130.55245588106158</v>
      </c>
      <c r="X83" s="15">
        <f t="shared" si="181"/>
        <v>125.55758974443732</v>
      </c>
      <c r="Y83" s="15">
        <f t="shared" si="182"/>
        <v>121.14888841078475</v>
      </c>
      <c r="Z83" s="15">
        <f t="shared" si="183"/>
        <v>117.29645542188692</v>
      </c>
      <c r="AA83" s="15">
        <f t="shared" si="184"/>
        <v>113.96407551228972</v>
      </c>
      <c r="AB83" s="15">
        <f t="shared" si="185"/>
        <v>111.10966350062378</v>
      </c>
      <c r="AC83" s="15">
        <f t="shared" si="186"/>
        <v>108.68577139501528</v>
      </c>
      <c r="AD83" s="15">
        <f t="shared" si="187"/>
        <v>106.64014715446098</v>
      </c>
      <c r="AE83" s="15">
        <f t="shared" si="188"/>
        <v>104.91633846201013</v>
      </c>
      <c r="AF83" s="15">
        <f t="shared" si="189"/>
        <v>103.45433485945048</v>
      </c>
      <c r="AG83" s="15">
        <f t="shared" si="190"/>
        <v>102.19124164338538</v>
      </c>
      <c r="AH83" s="15">
        <f t="shared" si="191"/>
        <v>101.0619790060842</v>
      </c>
      <c r="AI83" s="17">
        <v>100</v>
      </c>
      <c r="AK83" s="28"/>
      <c r="AL83" s="3">
        <f t="shared" si="163"/>
        <v>-1076400000</v>
      </c>
      <c r="AM83" s="3">
        <f t="shared" si="198"/>
        <v>-1030490044.9443809</v>
      </c>
      <c r="AN83" s="3">
        <f t="shared" si="199"/>
        <v>-984832289.92658377</v>
      </c>
      <c r="AO83" s="3">
        <f t="shared" si="200"/>
        <v>-939675787.40432394</v>
      </c>
      <c r="AP83" s="3">
        <f t="shared" si="201"/>
        <v>-895263340.60281646</v>
      </c>
      <c r="AQ83" s="3">
        <f t="shared" si="202"/>
        <v>-851828492.74631512</v>
      </c>
      <c r="AR83" s="3">
        <f t="shared" si="203"/>
        <v>-809592650.21961808</v>
      </c>
      <c r="AS83" s="3">
        <f t="shared" si="204"/>
        <v>-768762379.92076135</v>
      </c>
      <c r="AT83" s="3">
        <f t="shared" si="205"/>
        <v>-729526917.49913013</v>
      </c>
      <c r="AU83" s="3">
        <f t="shared" si="206"/>
        <v>-692055918.94063342</v>
      </c>
      <c r="AV83" s="3">
        <f t="shared" si="207"/>
        <v>-656497483.19896078</v>
      </c>
      <c r="AW83" s="3">
        <f t="shared" si="208"/>
        <v>-622976468.42773426</v>
      </c>
      <c r="AX83" s="3">
        <f t="shared" si="209"/>
        <v>-591593118.99762118</v>
      </c>
      <c r="AY83" s="3">
        <f t="shared" si="210"/>
        <v>-562422015.04016399</v>
      </c>
      <c r="AZ83" s="3">
        <f t="shared" si="211"/>
        <v>-535511350.89491642</v>
      </c>
      <c r="BA83" s="3">
        <f t="shared" si="212"/>
        <v>-510882543.68500108</v>
      </c>
      <c r="BB83" s="3">
        <f t="shared" si="213"/>
        <v>-488530168.42787629</v>
      </c>
      <c r="BC83" s="3">
        <f t="shared" si="214"/>
        <v>-468422211.70124894</v>
      </c>
      <c r="BD83" s="3">
        <f t="shared" si="215"/>
        <v>-450500632.00304109</v>
      </c>
      <c r="BE83" s="3">
        <f t="shared" si="216"/>
        <v>-434682211.6178956</v>
      </c>
      <c r="BF83" s="3">
        <f t="shared" si="217"/>
        <v>-420859682.05373019</v>
      </c>
      <c r="BG83" s="3">
        <f t="shared" si="218"/>
        <v>-408903102.93809551</v>
      </c>
      <c r="BH83" s="3">
        <f t="shared" si="219"/>
        <v>-398661472.64023811</v>
      </c>
      <c r="BI83" s="3">
        <f t="shared" si="220"/>
        <v>-389964547.76531482</v>
      </c>
      <c r="BJ83" s="3">
        <f t="shared" si="192"/>
        <v>-382624847.990206</v>
      </c>
      <c r="BK83" s="3">
        <f t="shared" si="193"/>
        <v>-376439822.40169227</v>
      </c>
      <c r="BL83" s="3">
        <f t="shared" si="194"/>
        <v>-371194153.47570831</v>
      </c>
      <c r="BM83" s="3">
        <f t="shared" si="195"/>
        <v>-366662175.01646668</v>
      </c>
      <c r="BN83" s="3">
        <f t="shared" si="196"/>
        <v>-362610380.67383009</v>
      </c>
      <c r="BO83" s="3">
        <f t="shared" si="197"/>
        <v>-358800000</v>
      </c>
      <c r="BQ83" s="28"/>
      <c r="BR83" s="3">
        <f t="shared" si="102"/>
        <v>0.3948481563843711</v>
      </c>
      <c r="BS83" s="3">
        <f t="shared" si="103"/>
        <v>0.3948481563843711</v>
      </c>
      <c r="BT83" s="3">
        <f t="shared" si="104"/>
        <v>0.3948481563843711</v>
      </c>
      <c r="BU83" s="3">
        <f t="shared" si="105"/>
        <v>0.3948481563843711</v>
      </c>
      <c r="BV83" s="3">
        <f t="shared" si="106"/>
        <v>0.3948481563843711</v>
      </c>
      <c r="BW83" s="3">
        <f t="shared" si="107"/>
        <v>0.3948481563843711</v>
      </c>
      <c r="BX83" s="3">
        <f t="shared" si="108"/>
        <v>0.3948481563843711</v>
      </c>
      <c r="BY83" s="3">
        <f t="shared" si="109"/>
        <v>0.3948481563843711</v>
      </c>
      <c r="BZ83" s="3">
        <f t="shared" si="110"/>
        <v>0.3948481563843711</v>
      </c>
      <c r="CA83" s="3">
        <f t="shared" si="111"/>
        <v>0.3948481563843711</v>
      </c>
      <c r="CB83" s="3">
        <f t="shared" si="112"/>
        <v>0.3948481563843711</v>
      </c>
      <c r="CC83" s="3">
        <f t="shared" si="113"/>
        <v>0.3948481563843711</v>
      </c>
      <c r="CD83" s="3">
        <f t="shared" si="114"/>
        <v>0.3948481563843711</v>
      </c>
      <c r="CE83" s="3">
        <f t="shared" si="115"/>
        <v>0.3948481563843711</v>
      </c>
      <c r="CF83" s="3">
        <f t="shared" si="116"/>
        <v>0.3948481563843711</v>
      </c>
      <c r="CG83" s="3">
        <f t="shared" si="117"/>
        <v>0.3948481563843711</v>
      </c>
      <c r="CH83" s="3">
        <f t="shared" si="118"/>
        <v>0.3948481563843711</v>
      </c>
      <c r="CI83" s="3">
        <f t="shared" si="119"/>
        <v>0.3948481563843711</v>
      </c>
      <c r="CJ83" s="3">
        <f t="shared" si="120"/>
        <v>0.3948481563843711</v>
      </c>
      <c r="CK83" s="3">
        <f t="shared" si="121"/>
        <v>0.3948481563843711</v>
      </c>
      <c r="CL83" s="3">
        <f t="shared" si="122"/>
        <v>0.3948481563843711</v>
      </c>
      <c r="CM83" s="3">
        <f t="shared" si="123"/>
        <v>0.3948481563843711</v>
      </c>
      <c r="CN83" s="3">
        <f t="shared" si="124"/>
        <v>0.3948481563843711</v>
      </c>
      <c r="CO83" s="3">
        <f t="shared" si="125"/>
        <v>0.3948481563843711</v>
      </c>
      <c r="CP83" s="3">
        <f t="shared" si="126"/>
        <v>0.3948481563843711</v>
      </c>
      <c r="CQ83" s="3">
        <f t="shared" si="127"/>
        <v>0.3948481563843711</v>
      </c>
      <c r="CR83" s="3">
        <f t="shared" si="128"/>
        <v>0.3948481563843711</v>
      </c>
      <c r="CS83" s="3">
        <f t="shared" si="129"/>
        <v>0.3948481563843711</v>
      </c>
      <c r="CT83" s="3">
        <f t="shared" si="130"/>
        <v>0.3948481563843711</v>
      </c>
      <c r="CU83" s="3">
        <f t="shared" si="131"/>
        <v>0.3948481563843711</v>
      </c>
      <c r="CW83" s="28"/>
      <c r="CX83" s="3">
        <f t="shared" si="132"/>
        <v>181.54555308468869</v>
      </c>
      <c r="CY83" s="3">
        <f t="shared" si="133"/>
        <v>173.80238308964451</v>
      </c>
      <c r="CZ83" s="3">
        <f t="shared" si="134"/>
        <v>166.10174913636394</v>
      </c>
      <c r="DA83" s="3">
        <f t="shared" si="135"/>
        <v>158.48565639595722</v>
      </c>
      <c r="DB83" s="3">
        <f t="shared" si="136"/>
        <v>150.99505604439273</v>
      </c>
      <c r="DC83" s="3">
        <f t="shared" si="137"/>
        <v>143.66933746648692</v>
      </c>
      <c r="DD83" s="3">
        <f t="shared" si="138"/>
        <v>136.54584304851309</v>
      </c>
      <c r="DE83" s="3">
        <f t="shared" si="139"/>
        <v>129.659412349885</v>
      </c>
      <c r="DF83" s="3">
        <f t="shared" si="140"/>
        <v>123.04196184276071</v>
      </c>
      <c r="DG83" s="3">
        <f t="shared" si="141"/>
        <v>116.72210569454643</v>
      </c>
      <c r="DH83" s="3">
        <f t="shared" si="142"/>
        <v>110.72482226501437</v>
      </c>
      <c r="DI83" s="3">
        <f t="shared" si="143"/>
        <v>105.07117012212851</v>
      </c>
      <c r="DJ83" s="3">
        <f t="shared" si="144"/>
        <v>99.778056474841307</v>
      </c>
      <c r="DK83" s="3">
        <f t="shared" si="145"/>
        <v>94.858060003225262</v>
      </c>
      <c r="DL83" s="3">
        <f t="shared" si="146"/>
        <v>90.319309161414338</v>
      </c>
      <c r="DM83" s="3">
        <f t="shared" si="147"/>
        <v>86.165416159983423</v>
      </c>
      <c r="DN83" s="3">
        <f t="shared" si="148"/>
        <v>82.395466021734407</v>
      </c>
      <c r="DO83" s="3">
        <f t="shared" si="149"/>
        <v>79.004059364972477</v>
      </c>
      <c r="DP83" s="3">
        <f t="shared" si="150"/>
        <v>75.981406913781029</v>
      </c>
      <c r="DQ83" s="3">
        <f t="shared" si="151"/>
        <v>73.31347317377049</v>
      </c>
      <c r="DR83" s="3">
        <f t="shared" si="152"/>
        <v>70.982166248133296</v>
      </c>
      <c r="DS83" s="3">
        <f t="shared" si="153"/>
        <v>68.965570402212876</v>
      </c>
      <c r="DT83" s="3">
        <f t="shared" si="154"/>
        <v>67.23821771091464</v>
      </c>
      <c r="DU83" s="3">
        <f t="shared" si="155"/>
        <v>65.771394934480284</v>
      </c>
      <c r="DV83" s="3">
        <f t="shared" si="156"/>
        <v>64.533481653964031</v>
      </c>
      <c r="DW83" s="3">
        <f t="shared" si="157"/>
        <v>63.490315645686749</v>
      </c>
      <c r="DX83" s="3">
        <f t="shared" si="158"/>
        <v>62.605581470225083</v>
      </c>
      <c r="DY83" s="3">
        <f t="shared" si="159"/>
        <v>61.84121828186489</v>
      </c>
      <c r="DZ83" s="3">
        <f t="shared" si="160"/>
        <v>61.157842914975838</v>
      </c>
      <c r="EA83" s="3">
        <f t="shared" si="161"/>
        <v>60.515184361562895</v>
      </c>
    </row>
    <row r="84" spans="5:131" x14ac:dyDescent="0.3">
      <c r="E84" s="27"/>
      <c r="F84" s="17">
        <v>300</v>
      </c>
      <c r="G84" s="15">
        <f t="shared" si="164"/>
        <v>287.20458331783198</v>
      </c>
      <c r="H84" s="15">
        <f t="shared" si="165"/>
        <v>274.47945650127758</v>
      </c>
      <c r="I84" s="15">
        <f t="shared" si="166"/>
        <v>261.89403216396988</v>
      </c>
      <c r="J84" s="15">
        <f t="shared" si="167"/>
        <v>249.51598121594662</v>
      </c>
      <c r="K84" s="15">
        <f t="shared" si="168"/>
        <v>237.41039374200534</v>
      </c>
      <c r="L84" s="15">
        <f t="shared" si="169"/>
        <v>225.63897720725146</v>
      </c>
      <c r="M84" s="15">
        <f t="shared" si="170"/>
        <v>214.25930321091454</v>
      </c>
      <c r="N84" s="15">
        <f t="shared" si="171"/>
        <v>203.32411301536513</v>
      </c>
      <c r="O84" s="15">
        <f t="shared" si="172"/>
        <v>192.88069089761245</v>
      </c>
      <c r="P84" s="15">
        <f t="shared" si="173"/>
        <v>182.97031304318864</v>
      </c>
      <c r="Q84" s="15">
        <f t="shared" si="174"/>
        <v>173.62777826859931</v>
      </c>
      <c r="R84" s="15">
        <f t="shared" si="175"/>
        <v>164.88102536165584</v>
      </c>
      <c r="S84" s="15">
        <f t="shared" si="176"/>
        <v>156.75084031219734</v>
      </c>
      <c r="T84" s="15">
        <f t="shared" si="177"/>
        <v>149.25065521040034</v>
      </c>
      <c r="U84" s="15">
        <f t="shared" si="178"/>
        <v>142.38643915412518</v>
      </c>
      <c r="V84" s="15">
        <f t="shared" si="179"/>
        <v>136.15668016384512</v>
      </c>
      <c r="W84" s="15">
        <f t="shared" si="180"/>
        <v>130.55245588106158</v>
      </c>
      <c r="X84" s="15">
        <f t="shared" si="181"/>
        <v>125.55758974443731</v>
      </c>
      <c r="Y84" s="15">
        <f t="shared" si="182"/>
        <v>121.14888841078474</v>
      </c>
      <c r="Z84" s="15">
        <f t="shared" si="183"/>
        <v>117.29645542188692</v>
      </c>
      <c r="AA84" s="15">
        <f t="shared" si="184"/>
        <v>113.96407551228972</v>
      </c>
      <c r="AB84" s="15">
        <f t="shared" si="185"/>
        <v>111.10966350062378</v>
      </c>
      <c r="AC84" s="15">
        <f t="shared" si="186"/>
        <v>108.68577139501528</v>
      </c>
      <c r="AD84" s="15">
        <f t="shared" si="187"/>
        <v>106.64014715446098</v>
      </c>
      <c r="AE84" s="15">
        <f t="shared" si="188"/>
        <v>104.91633846201013</v>
      </c>
      <c r="AF84" s="15">
        <f t="shared" si="189"/>
        <v>103.45433485945048</v>
      </c>
      <c r="AG84" s="15">
        <f t="shared" si="190"/>
        <v>102.19124164338538</v>
      </c>
      <c r="AH84" s="15">
        <f t="shared" si="191"/>
        <v>101.0619790060842</v>
      </c>
      <c r="AI84" s="17">
        <v>100</v>
      </c>
      <c r="AK84" s="28"/>
      <c r="AL84" s="3">
        <f t="shared" si="163"/>
        <v>-1076400000</v>
      </c>
      <c r="AM84" s="3">
        <f t="shared" si="198"/>
        <v>-1030490044.9443809</v>
      </c>
      <c r="AN84" s="3">
        <f t="shared" si="199"/>
        <v>-984832289.92658377</v>
      </c>
      <c r="AO84" s="3">
        <f t="shared" si="200"/>
        <v>-939675787.40432394</v>
      </c>
      <c r="AP84" s="3">
        <f t="shared" si="201"/>
        <v>-895263340.60281634</v>
      </c>
      <c r="AQ84" s="3">
        <f t="shared" si="202"/>
        <v>-851828492.74631512</v>
      </c>
      <c r="AR84" s="3">
        <f t="shared" si="203"/>
        <v>-809592650.21961808</v>
      </c>
      <c r="AS84" s="3">
        <f t="shared" si="204"/>
        <v>-768762379.92076135</v>
      </c>
      <c r="AT84" s="3">
        <f t="shared" si="205"/>
        <v>-729526917.49913013</v>
      </c>
      <c r="AU84" s="3">
        <f t="shared" si="206"/>
        <v>-692055918.94063342</v>
      </c>
      <c r="AV84" s="3">
        <f t="shared" si="207"/>
        <v>-656497483.19896078</v>
      </c>
      <c r="AW84" s="3">
        <f t="shared" si="208"/>
        <v>-622976468.42773426</v>
      </c>
      <c r="AX84" s="3">
        <f t="shared" si="209"/>
        <v>-591593118.99762118</v>
      </c>
      <c r="AY84" s="3">
        <f t="shared" si="210"/>
        <v>-562422015.04016399</v>
      </c>
      <c r="AZ84" s="3">
        <f t="shared" si="211"/>
        <v>-535511350.89491642</v>
      </c>
      <c r="BA84" s="3">
        <f t="shared" si="212"/>
        <v>-510882543.68500108</v>
      </c>
      <c r="BB84" s="3">
        <f t="shared" si="213"/>
        <v>-488530168.42787629</v>
      </c>
      <c r="BC84" s="3">
        <f t="shared" si="214"/>
        <v>-468422211.70124894</v>
      </c>
      <c r="BD84" s="3">
        <f t="shared" si="215"/>
        <v>-450500632.00304109</v>
      </c>
      <c r="BE84" s="3">
        <f t="shared" si="216"/>
        <v>-434682211.6178956</v>
      </c>
      <c r="BF84" s="3">
        <f t="shared" si="217"/>
        <v>-420859682.05373019</v>
      </c>
      <c r="BG84" s="3">
        <f t="shared" si="218"/>
        <v>-408903102.93809551</v>
      </c>
      <c r="BH84" s="3">
        <f t="shared" si="219"/>
        <v>-398661472.64023811</v>
      </c>
      <c r="BI84" s="3">
        <f t="shared" si="220"/>
        <v>-389964547.76531482</v>
      </c>
      <c r="BJ84" s="3">
        <f t="shared" si="192"/>
        <v>-382624847.990206</v>
      </c>
      <c r="BK84" s="3">
        <f t="shared" si="193"/>
        <v>-376439822.40169227</v>
      </c>
      <c r="BL84" s="3">
        <f t="shared" si="194"/>
        <v>-371194153.47570831</v>
      </c>
      <c r="BM84" s="3">
        <f t="shared" si="195"/>
        <v>-366662175.01646668</v>
      </c>
      <c r="BN84" s="3">
        <f t="shared" si="196"/>
        <v>-362610380.67383009</v>
      </c>
      <c r="BO84" s="3">
        <f t="shared" si="197"/>
        <v>-358800000</v>
      </c>
      <c r="BQ84" s="28"/>
      <c r="BR84" s="3">
        <f t="shared" si="102"/>
        <v>0.39484815640727794</v>
      </c>
      <c r="BS84" s="3">
        <f t="shared" si="103"/>
        <v>0.39484815640727794</v>
      </c>
      <c r="BT84" s="3">
        <f t="shared" si="104"/>
        <v>0.39484815640727794</v>
      </c>
      <c r="BU84" s="3">
        <f t="shared" si="105"/>
        <v>0.39484815640727794</v>
      </c>
      <c r="BV84" s="3">
        <f t="shared" si="106"/>
        <v>0.39484815640727794</v>
      </c>
      <c r="BW84" s="3">
        <f t="shared" si="107"/>
        <v>0.39484815640727794</v>
      </c>
      <c r="BX84" s="3">
        <f t="shared" si="108"/>
        <v>0.39484815640727794</v>
      </c>
      <c r="BY84" s="3">
        <f t="shared" si="109"/>
        <v>0.39484815640727794</v>
      </c>
      <c r="BZ84" s="3">
        <f t="shared" si="110"/>
        <v>0.39484815640727794</v>
      </c>
      <c r="CA84" s="3">
        <f t="shared" si="111"/>
        <v>0.39484815640727794</v>
      </c>
      <c r="CB84" s="3">
        <f t="shared" si="112"/>
        <v>0.39484815640727794</v>
      </c>
      <c r="CC84" s="3">
        <f t="shared" si="113"/>
        <v>0.39484815640727794</v>
      </c>
      <c r="CD84" s="3">
        <f t="shared" si="114"/>
        <v>0.39484815640727794</v>
      </c>
      <c r="CE84" s="3">
        <f t="shared" si="115"/>
        <v>0.39484815640727794</v>
      </c>
      <c r="CF84" s="3">
        <f t="shared" si="116"/>
        <v>0.39484815640727794</v>
      </c>
      <c r="CG84" s="3">
        <f t="shared" si="117"/>
        <v>0.39484815640727794</v>
      </c>
      <c r="CH84" s="3">
        <f t="shared" si="118"/>
        <v>0.39484815640727794</v>
      </c>
      <c r="CI84" s="3">
        <f t="shared" si="119"/>
        <v>0.39484815640727794</v>
      </c>
      <c r="CJ84" s="3">
        <f t="shared" si="120"/>
        <v>0.39484815640727794</v>
      </c>
      <c r="CK84" s="3">
        <f t="shared" si="121"/>
        <v>0.39484815640727794</v>
      </c>
      <c r="CL84" s="3">
        <f t="shared" si="122"/>
        <v>0.39484815640727794</v>
      </c>
      <c r="CM84" s="3">
        <f t="shared" si="123"/>
        <v>0.39484815640727794</v>
      </c>
      <c r="CN84" s="3">
        <f t="shared" si="124"/>
        <v>0.39484815640727794</v>
      </c>
      <c r="CO84" s="3">
        <f t="shared" si="125"/>
        <v>0.39484815640727794</v>
      </c>
      <c r="CP84" s="3">
        <f t="shared" si="126"/>
        <v>0.39484815640727794</v>
      </c>
      <c r="CQ84" s="3">
        <f t="shared" si="127"/>
        <v>0.39484815640727794</v>
      </c>
      <c r="CR84" s="3">
        <f t="shared" si="128"/>
        <v>0.39484815640727794</v>
      </c>
      <c r="CS84" s="3">
        <f t="shared" si="129"/>
        <v>0.39484815640727794</v>
      </c>
      <c r="CT84" s="3">
        <f t="shared" si="130"/>
        <v>0.39484815640727794</v>
      </c>
      <c r="CU84" s="3">
        <f t="shared" si="131"/>
        <v>0.39484815640727794</v>
      </c>
      <c r="CW84" s="28"/>
      <c r="CX84" s="3">
        <f t="shared" si="132"/>
        <v>181.54555307781661</v>
      </c>
      <c r="CY84" s="3">
        <f t="shared" si="133"/>
        <v>173.80238308306554</v>
      </c>
      <c r="CZ84" s="3">
        <f t="shared" si="134"/>
        <v>166.10174913007646</v>
      </c>
      <c r="DA84" s="3">
        <f t="shared" si="135"/>
        <v>158.48565638995802</v>
      </c>
      <c r="DB84" s="3">
        <f t="shared" si="136"/>
        <v>150.99505603867709</v>
      </c>
      <c r="DC84" s="3">
        <f t="shared" si="137"/>
        <v>143.66933746104857</v>
      </c>
      <c r="DD84" s="3">
        <f t="shared" si="138"/>
        <v>136.54584304334441</v>
      </c>
      <c r="DE84" s="3">
        <f t="shared" si="139"/>
        <v>129.65941234497697</v>
      </c>
      <c r="DF84" s="3">
        <f t="shared" si="140"/>
        <v>123.04196183810319</v>
      </c>
      <c r="DG84" s="3">
        <f t="shared" si="141"/>
        <v>116.72210569012815</v>
      </c>
      <c r="DH84" s="3">
        <f t="shared" si="142"/>
        <v>110.72482226082309</v>
      </c>
      <c r="DI84" s="3">
        <f t="shared" si="143"/>
        <v>105.07117011815124</v>
      </c>
      <c r="DJ84" s="3">
        <f t="shared" si="144"/>
        <v>99.778056471064389</v>
      </c>
      <c r="DK84" s="3">
        <f t="shared" si="145"/>
        <v>94.858059999634591</v>
      </c>
      <c r="DL84" s="3">
        <f t="shared" si="146"/>
        <v>90.319309157995477</v>
      </c>
      <c r="DM84" s="3">
        <f t="shared" si="147"/>
        <v>86.16541615672179</v>
      </c>
      <c r="DN84" s="3">
        <f t="shared" si="148"/>
        <v>82.395466018615494</v>
      </c>
      <c r="DO84" s="3">
        <f t="shared" si="149"/>
        <v>79.004059361981916</v>
      </c>
      <c r="DP84" s="3">
        <f t="shared" si="150"/>
        <v>75.981406910904894</v>
      </c>
      <c r="DQ84" s="3">
        <f t="shared" si="151"/>
        <v>73.313473170995337</v>
      </c>
      <c r="DR84" s="3">
        <f t="shared" si="152"/>
        <v>70.982166245446408</v>
      </c>
      <c r="DS84" s="3">
        <f t="shared" si="153"/>
        <v>68.965570399602314</v>
      </c>
      <c r="DT84" s="3">
        <f t="shared" si="154"/>
        <v>67.238217708369461</v>
      </c>
      <c r="DU84" s="3">
        <f t="shared" si="155"/>
        <v>65.771394931990642</v>
      </c>
      <c r="DV84" s="3">
        <f t="shared" si="156"/>
        <v>64.533481651521242</v>
      </c>
      <c r="DW84" s="3">
        <f t="shared" si="157"/>
        <v>63.490315643283445</v>
      </c>
      <c r="DX84" s="3">
        <f t="shared" si="158"/>
        <v>62.605581467855281</v>
      </c>
      <c r="DY84" s="3">
        <f t="shared" si="159"/>
        <v>61.841218279524007</v>
      </c>
      <c r="DZ84" s="3">
        <f t="shared" si="160"/>
        <v>61.157842912660826</v>
      </c>
      <c r="EA84" s="3">
        <f t="shared" si="161"/>
        <v>60.515184359272212</v>
      </c>
    </row>
    <row r="85" spans="5:131" x14ac:dyDescent="0.3">
      <c r="E85" s="27"/>
      <c r="F85" s="17">
        <v>300</v>
      </c>
      <c r="G85" s="15">
        <f t="shared" si="164"/>
        <v>287.20458331783192</v>
      </c>
      <c r="H85" s="15">
        <f t="shared" si="165"/>
        <v>274.47945650127753</v>
      </c>
      <c r="I85" s="15">
        <f t="shared" si="166"/>
        <v>261.89403216396983</v>
      </c>
      <c r="J85" s="15">
        <f t="shared" si="167"/>
        <v>249.5159812159466</v>
      </c>
      <c r="K85" s="15">
        <f t="shared" si="168"/>
        <v>237.41039374200534</v>
      </c>
      <c r="L85" s="15">
        <f t="shared" si="169"/>
        <v>225.6389772072514</v>
      </c>
      <c r="M85" s="15">
        <f t="shared" si="170"/>
        <v>214.25930321091454</v>
      </c>
      <c r="N85" s="15">
        <f t="shared" si="171"/>
        <v>203.32411301536513</v>
      </c>
      <c r="O85" s="15">
        <f t="shared" si="172"/>
        <v>192.88069089761245</v>
      </c>
      <c r="P85" s="15">
        <f t="shared" si="173"/>
        <v>182.97031304318864</v>
      </c>
      <c r="Q85" s="15">
        <f t="shared" si="174"/>
        <v>173.62777826859929</v>
      </c>
      <c r="R85" s="15">
        <f t="shared" si="175"/>
        <v>164.88102536165582</v>
      </c>
      <c r="S85" s="15">
        <f t="shared" si="176"/>
        <v>156.75084031219731</v>
      </c>
      <c r="T85" s="15">
        <f t="shared" si="177"/>
        <v>149.25065521040034</v>
      </c>
      <c r="U85" s="15">
        <f t="shared" si="178"/>
        <v>142.38643915412518</v>
      </c>
      <c r="V85" s="15">
        <f t="shared" si="179"/>
        <v>136.15668016384512</v>
      </c>
      <c r="W85" s="15">
        <f t="shared" si="180"/>
        <v>130.55245588106158</v>
      </c>
      <c r="X85" s="15">
        <f t="shared" si="181"/>
        <v>125.55758974443731</v>
      </c>
      <c r="Y85" s="15">
        <f t="shared" si="182"/>
        <v>121.14888841078472</v>
      </c>
      <c r="Z85" s="15">
        <f t="shared" si="183"/>
        <v>117.29645542188692</v>
      </c>
      <c r="AA85" s="15">
        <f t="shared" si="184"/>
        <v>113.96407551228972</v>
      </c>
      <c r="AB85" s="15">
        <f t="shared" si="185"/>
        <v>111.10966350062378</v>
      </c>
      <c r="AC85" s="15">
        <f t="shared" si="186"/>
        <v>108.68577139501528</v>
      </c>
      <c r="AD85" s="15">
        <f t="shared" si="187"/>
        <v>106.64014715446099</v>
      </c>
      <c r="AE85" s="15">
        <f t="shared" si="188"/>
        <v>104.91633846201012</v>
      </c>
      <c r="AF85" s="15">
        <f t="shared" si="189"/>
        <v>103.45433485945048</v>
      </c>
      <c r="AG85" s="15">
        <f t="shared" si="190"/>
        <v>102.19124164338538</v>
      </c>
      <c r="AH85" s="15">
        <f t="shared" si="191"/>
        <v>101.0619790060842</v>
      </c>
      <c r="AI85" s="17">
        <v>100</v>
      </c>
      <c r="AK85" s="28"/>
      <c r="AL85" s="3">
        <f t="shared" si="163"/>
        <v>-1076400000</v>
      </c>
      <c r="AM85" s="3">
        <f t="shared" si="198"/>
        <v>-1030490044.9443809</v>
      </c>
      <c r="AN85" s="3">
        <f t="shared" si="199"/>
        <v>-984832289.92658353</v>
      </c>
      <c r="AO85" s="3">
        <f t="shared" si="200"/>
        <v>-939675787.4043237</v>
      </c>
      <c r="AP85" s="3">
        <f t="shared" si="201"/>
        <v>-895263340.60281622</v>
      </c>
      <c r="AQ85" s="3">
        <f t="shared" si="202"/>
        <v>-851828492.746315</v>
      </c>
      <c r="AR85" s="3">
        <f t="shared" si="203"/>
        <v>-809592650.21961784</v>
      </c>
      <c r="AS85" s="3">
        <f t="shared" si="204"/>
        <v>-768762379.92076135</v>
      </c>
      <c r="AT85" s="3">
        <f t="shared" si="205"/>
        <v>-729526917.49913013</v>
      </c>
      <c r="AU85" s="3">
        <f t="shared" si="206"/>
        <v>-692055918.94063342</v>
      </c>
      <c r="AV85" s="3">
        <f t="shared" si="207"/>
        <v>-656497483.19896078</v>
      </c>
      <c r="AW85" s="3">
        <f t="shared" si="208"/>
        <v>-622976468.42773426</v>
      </c>
      <c r="AX85" s="3">
        <f t="shared" si="209"/>
        <v>-591593118.99762106</v>
      </c>
      <c r="AY85" s="3">
        <f t="shared" si="210"/>
        <v>-562422015.04016387</v>
      </c>
      <c r="AZ85" s="3">
        <f t="shared" si="211"/>
        <v>-535511350.8949163</v>
      </c>
      <c r="BA85" s="3">
        <f t="shared" si="212"/>
        <v>-510882543.68500108</v>
      </c>
      <c r="BB85" s="3">
        <f t="shared" si="213"/>
        <v>-488530168.42787629</v>
      </c>
      <c r="BC85" s="3">
        <f t="shared" si="214"/>
        <v>-468422211.70124894</v>
      </c>
      <c r="BD85" s="3">
        <f t="shared" si="215"/>
        <v>-450500632.00304109</v>
      </c>
      <c r="BE85" s="3">
        <f t="shared" si="216"/>
        <v>-434682211.6178956</v>
      </c>
      <c r="BF85" s="3">
        <f t="shared" si="217"/>
        <v>-420859682.05373019</v>
      </c>
      <c r="BG85" s="3">
        <f t="shared" si="218"/>
        <v>-408903102.93809551</v>
      </c>
      <c r="BH85" s="3">
        <f t="shared" si="219"/>
        <v>-398661472.64023811</v>
      </c>
      <c r="BI85" s="3">
        <f t="shared" si="220"/>
        <v>-389964547.76531482</v>
      </c>
      <c r="BJ85" s="3">
        <f t="shared" si="192"/>
        <v>-382624847.990206</v>
      </c>
      <c r="BK85" s="3">
        <f t="shared" si="193"/>
        <v>-376439822.40169227</v>
      </c>
      <c r="BL85" s="3">
        <f t="shared" si="194"/>
        <v>-371194153.47570831</v>
      </c>
      <c r="BM85" s="3">
        <f t="shared" si="195"/>
        <v>-366662175.01646668</v>
      </c>
      <c r="BN85" s="3">
        <f t="shared" si="196"/>
        <v>-362610380.67383009</v>
      </c>
      <c r="BO85" s="3">
        <f t="shared" si="197"/>
        <v>-358800000</v>
      </c>
      <c r="BQ85" s="28"/>
      <c r="BR85" s="3">
        <f t="shared" si="102"/>
        <v>0.39484815655420619</v>
      </c>
      <c r="BS85" s="3">
        <f t="shared" si="103"/>
        <v>0.39484815655420619</v>
      </c>
      <c r="BT85" s="3">
        <f t="shared" si="104"/>
        <v>0.39484815655420619</v>
      </c>
      <c r="BU85" s="3">
        <f t="shared" si="105"/>
        <v>0.39484815655420619</v>
      </c>
      <c r="BV85" s="3">
        <f t="shared" si="106"/>
        <v>0.39484815655420619</v>
      </c>
      <c r="BW85" s="3">
        <f t="shared" si="107"/>
        <v>0.39484815655420619</v>
      </c>
      <c r="BX85" s="3">
        <f t="shared" si="108"/>
        <v>0.39484815655420619</v>
      </c>
      <c r="BY85" s="3">
        <f t="shared" si="109"/>
        <v>0.39484815655420619</v>
      </c>
      <c r="BZ85" s="3">
        <f t="shared" si="110"/>
        <v>0.39484815655420619</v>
      </c>
      <c r="CA85" s="3">
        <f t="shared" si="111"/>
        <v>0.39484815655420619</v>
      </c>
      <c r="CB85" s="3">
        <f t="shared" si="112"/>
        <v>0.39484815655420619</v>
      </c>
      <c r="CC85" s="3">
        <f t="shared" si="113"/>
        <v>0.39484815655420619</v>
      </c>
      <c r="CD85" s="3">
        <f t="shared" si="114"/>
        <v>0.39484815655420619</v>
      </c>
      <c r="CE85" s="3">
        <f t="shared" si="115"/>
        <v>0.39484815655420619</v>
      </c>
      <c r="CF85" s="3">
        <f t="shared" si="116"/>
        <v>0.39484815655420619</v>
      </c>
      <c r="CG85" s="3">
        <f t="shared" si="117"/>
        <v>0.39484815655420619</v>
      </c>
      <c r="CH85" s="3">
        <f t="shared" si="118"/>
        <v>0.39484815655420619</v>
      </c>
      <c r="CI85" s="3">
        <f t="shared" si="119"/>
        <v>0.39484815655420619</v>
      </c>
      <c r="CJ85" s="3">
        <f t="shared" si="120"/>
        <v>0.39484815655420619</v>
      </c>
      <c r="CK85" s="3">
        <f t="shared" si="121"/>
        <v>0.39484815655420619</v>
      </c>
      <c r="CL85" s="3">
        <f t="shared" si="122"/>
        <v>0.39484815655420619</v>
      </c>
      <c r="CM85" s="3">
        <f t="shared" si="123"/>
        <v>0.39484815655420619</v>
      </c>
      <c r="CN85" s="3">
        <f t="shared" si="124"/>
        <v>0.39484815655420619</v>
      </c>
      <c r="CO85" s="3">
        <f t="shared" si="125"/>
        <v>0.39484815655420619</v>
      </c>
      <c r="CP85" s="3">
        <f t="shared" si="126"/>
        <v>0.39484815655420619</v>
      </c>
      <c r="CQ85" s="3">
        <f t="shared" si="127"/>
        <v>0.39484815655420619</v>
      </c>
      <c r="CR85" s="3">
        <f t="shared" si="128"/>
        <v>0.39484815655420619</v>
      </c>
      <c r="CS85" s="3">
        <f t="shared" si="129"/>
        <v>0.39484815655420619</v>
      </c>
      <c r="CT85" s="3">
        <f t="shared" si="130"/>
        <v>0.39484815655420619</v>
      </c>
      <c r="CU85" s="3">
        <f t="shared" si="131"/>
        <v>0.39484815655420619</v>
      </c>
      <c r="CW85" s="28"/>
      <c r="CX85" s="3">
        <f t="shared" si="132"/>
        <v>181.54555303373814</v>
      </c>
      <c r="CY85" s="3">
        <f t="shared" si="133"/>
        <v>173.80238304086706</v>
      </c>
      <c r="CZ85" s="3">
        <f t="shared" si="134"/>
        <v>166.10174908974764</v>
      </c>
      <c r="DA85" s="3">
        <f t="shared" si="135"/>
        <v>158.48565635147835</v>
      </c>
      <c r="DB85" s="3">
        <f t="shared" si="136"/>
        <v>150.99505600201613</v>
      </c>
      <c r="DC85" s="3">
        <f t="shared" si="137"/>
        <v>143.66933742616627</v>
      </c>
      <c r="DD85" s="3">
        <f t="shared" si="138"/>
        <v>136.54584301019162</v>
      </c>
      <c r="DE85" s="3">
        <f t="shared" si="139"/>
        <v>129.6594123134962</v>
      </c>
      <c r="DF85" s="3">
        <f t="shared" si="140"/>
        <v>123.04196180822913</v>
      </c>
      <c r="DG85" s="3">
        <f t="shared" si="141"/>
        <v>116.72210566178852</v>
      </c>
      <c r="DH85" s="3">
        <f t="shared" si="142"/>
        <v>110.72482223393956</v>
      </c>
      <c r="DI85" s="3">
        <f t="shared" si="143"/>
        <v>105.0711700926404</v>
      </c>
      <c r="DJ85" s="3">
        <f t="shared" si="144"/>
        <v>99.778056446838704</v>
      </c>
      <c r="DK85" s="3">
        <f t="shared" si="145"/>
        <v>94.858059976603442</v>
      </c>
      <c r="DL85" s="3">
        <f t="shared" si="146"/>
        <v>90.319309136066323</v>
      </c>
      <c r="DM85" s="3">
        <f t="shared" si="147"/>
        <v>86.165416135801195</v>
      </c>
      <c r="DN85" s="3">
        <f t="shared" si="148"/>
        <v>82.39546599861022</v>
      </c>
      <c r="DO85" s="3">
        <f t="shared" si="149"/>
        <v>79.004059342800076</v>
      </c>
      <c r="DP85" s="3">
        <f t="shared" si="150"/>
        <v>75.981406892456931</v>
      </c>
      <c r="DQ85" s="3">
        <f t="shared" si="151"/>
        <v>73.313473153195133</v>
      </c>
      <c r="DR85" s="3">
        <f t="shared" si="152"/>
        <v>70.982166228212236</v>
      </c>
      <c r="DS85" s="3">
        <f t="shared" si="153"/>
        <v>68.965570382857777</v>
      </c>
      <c r="DT85" s="3">
        <f t="shared" si="154"/>
        <v>67.238217692044316</v>
      </c>
      <c r="DU85" s="3">
        <f t="shared" si="155"/>
        <v>65.77139491602162</v>
      </c>
      <c r="DV85" s="3">
        <f t="shared" si="156"/>
        <v>64.533481635852795</v>
      </c>
      <c r="DW85" s="3">
        <f t="shared" si="157"/>
        <v>63.490315627868263</v>
      </c>
      <c r="DX85" s="3">
        <f t="shared" si="158"/>
        <v>62.605581452654903</v>
      </c>
      <c r="DY85" s="3">
        <f t="shared" si="159"/>
        <v>61.84121826450923</v>
      </c>
      <c r="DZ85" s="3">
        <f t="shared" si="160"/>
        <v>61.157842897811967</v>
      </c>
      <c r="EA85" s="3">
        <f t="shared" si="161"/>
        <v>60.515184344579389</v>
      </c>
    </row>
    <row r="86" spans="5:131" x14ac:dyDescent="0.3">
      <c r="E86" s="27"/>
      <c r="F86" s="17">
        <v>300</v>
      </c>
      <c r="G86" s="15">
        <f t="shared" si="164"/>
        <v>287.20458331783192</v>
      </c>
      <c r="H86" s="15">
        <f t="shared" si="165"/>
        <v>274.47945650127753</v>
      </c>
      <c r="I86" s="15">
        <f t="shared" si="166"/>
        <v>261.89403216396983</v>
      </c>
      <c r="J86" s="15">
        <f t="shared" si="167"/>
        <v>249.51598121594657</v>
      </c>
      <c r="K86" s="15">
        <f t="shared" si="168"/>
        <v>237.41039374200534</v>
      </c>
      <c r="L86" s="15">
        <f t="shared" si="169"/>
        <v>225.6389772072514</v>
      </c>
      <c r="M86" s="15">
        <f t="shared" si="170"/>
        <v>214.25930321091454</v>
      </c>
      <c r="N86" s="15">
        <f t="shared" si="171"/>
        <v>203.32411301536513</v>
      </c>
      <c r="O86" s="15">
        <f t="shared" si="172"/>
        <v>192.88069089761245</v>
      </c>
      <c r="P86" s="15">
        <f t="shared" si="173"/>
        <v>182.97031304318864</v>
      </c>
      <c r="Q86" s="15">
        <f t="shared" si="174"/>
        <v>173.62777826859929</v>
      </c>
      <c r="R86" s="15">
        <f t="shared" si="175"/>
        <v>164.88102536165582</v>
      </c>
      <c r="S86" s="15">
        <f t="shared" si="176"/>
        <v>156.75084031219731</v>
      </c>
      <c r="T86" s="15">
        <f t="shared" si="177"/>
        <v>149.25065521040034</v>
      </c>
      <c r="U86" s="15">
        <f t="shared" si="178"/>
        <v>142.38643915412518</v>
      </c>
      <c r="V86" s="15">
        <f t="shared" si="179"/>
        <v>136.15668016384512</v>
      </c>
      <c r="W86" s="15">
        <f t="shared" si="180"/>
        <v>130.55245588106158</v>
      </c>
      <c r="X86" s="15">
        <f t="shared" si="181"/>
        <v>125.55758974443732</v>
      </c>
      <c r="Y86" s="15">
        <f t="shared" si="182"/>
        <v>121.14888841078472</v>
      </c>
      <c r="Z86" s="15">
        <f t="shared" si="183"/>
        <v>117.29645542188692</v>
      </c>
      <c r="AA86" s="15">
        <f t="shared" si="184"/>
        <v>113.96407551228972</v>
      </c>
      <c r="AB86" s="15">
        <f t="shared" si="185"/>
        <v>111.10966350062378</v>
      </c>
      <c r="AC86" s="15">
        <f t="shared" si="186"/>
        <v>108.68577139501528</v>
      </c>
      <c r="AD86" s="15">
        <f t="shared" si="187"/>
        <v>106.64014715446098</v>
      </c>
      <c r="AE86" s="15">
        <f t="shared" si="188"/>
        <v>104.91633846201012</v>
      </c>
      <c r="AF86" s="15">
        <f t="shared" si="189"/>
        <v>103.45433485945048</v>
      </c>
      <c r="AG86" s="15">
        <f t="shared" si="190"/>
        <v>102.19124164338538</v>
      </c>
      <c r="AH86" s="15">
        <f t="shared" si="191"/>
        <v>101.06197900608419</v>
      </c>
      <c r="AI86" s="17">
        <v>100</v>
      </c>
      <c r="AK86" s="28"/>
      <c r="AL86" s="3">
        <f t="shared" si="163"/>
        <v>-1076400000</v>
      </c>
      <c r="AM86" s="3">
        <f t="shared" si="198"/>
        <v>-1030490044.9443809</v>
      </c>
      <c r="AN86" s="3">
        <f t="shared" si="199"/>
        <v>-984832289.92658353</v>
      </c>
      <c r="AO86" s="3">
        <f t="shared" si="200"/>
        <v>-939675787.4043237</v>
      </c>
      <c r="AP86" s="3">
        <f t="shared" si="201"/>
        <v>-895263340.60281622</v>
      </c>
      <c r="AQ86" s="3">
        <f t="shared" si="202"/>
        <v>-851828492.746315</v>
      </c>
      <c r="AR86" s="3">
        <f t="shared" si="203"/>
        <v>-809592650.21961784</v>
      </c>
      <c r="AS86" s="3">
        <f t="shared" si="204"/>
        <v>-768762379.92076135</v>
      </c>
      <c r="AT86" s="3">
        <f t="shared" si="205"/>
        <v>-729526917.49913013</v>
      </c>
      <c r="AU86" s="3">
        <f t="shared" si="206"/>
        <v>-692055918.94063342</v>
      </c>
      <c r="AV86" s="3">
        <f t="shared" si="207"/>
        <v>-656497483.19896078</v>
      </c>
      <c r="AW86" s="3">
        <f t="shared" si="208"/>
        <v>-622976468.42773426</v>
      </c>
      <c r="AX86" s="3">
        <f t="shared" si="209"/>
        <v>-591593118.99762106</v>
      </c>
      <c r="AY86" s="3">
        <f t="shared" si="210"/>
        <v>-562422015.04016387</v>
      </c>
      <c r="AZ86" s="3">
        <f t="shared" si="211"/>
        <v>-535511350.8949163</v>
      </c>
      <c r="BA86" s="3">
        <f t="shared" si="212"/>
        <v>-510882543.68500108</v>
      </c>
      <c r="BB86" s="3">
        <f t="shared" si="213"/>
        <v>-488530168.42787629</v>
      </c>
      <c r="BC86" s="3">
        <f t="shared" si="214"/>
        <v>-468422211.70124894</v>
      </c>
      <c r="BD86" s="3">
        <f t="shared" si="215"/>
        <v>-450500632.00304109</v>
      </c>
      <c r="BE86" s="3">
        <f t="shared" si="216"/>
        <v>-434682211.6178956</v>
      </c>
      <c r="BF86" s="3">
        <f t="shared" si="217"/>
        <v>-420859682.05373019</v>
      </c>
      <c r="BG86" s="3">
        <f t="shared" si="218"/>
        <v>-408903102.93809551</v>
      </c>
      <c r="BH86" s="3">
        <f t="shared" si="219"/>
        <v>-398661472.64023811</v>
      </c>
      <c r="BI86" s="3">
        <f t="shared" si="220"/>
        <v>-389964547.76531482</v>
      </c>
      <c r="BJ86" s="3">
        <f t="shared" si="192"/>
        <v>-382624847.990206</v>
      </c>
      <c r="BK86" s="3">
        <f t="shared" si="193"/>
        <v>-376439822.40169227</v>
      </c>
      <c r="BL86" s="3">
        <f t="shared" si="194"/>
        <v>-371194153.47570831</v>
      </c>
      <c r="BM86" s="3">
        <f t="shared" si="195"/>
        <v>-366662175.01646668</v>
      </c>
      <c r="BN86" s="3">
        <f t="shared" si="196"/>
        <v>-362610380.67383009</v>
      </c>
      <c r="BO86" s="3">
        <f t="shared" si="197"/>
        <v>-358800000</v>
      </c>
      <c r="BQ86" s="28"/>
      <c r="BR86" s="3">
        <f t="shared" si="102"/>
        <v>0.39484815749662749</v>
      </c>
      <c r="BS86" s="3">
        <f t="shared" si="103"/>
        <v>0.39484815749662749</v>
      </c>
      <c r="BT86" s="3">
        <f t="shared" si="104"/>
        <v>0.39484815749662749</v>
      </c>
      <c r="BU86" s="3">
        <f t="shared" si="105"/>
        <v>0.39484815749662749</v>
      </c>
      <c r="BV86" s="3">
        <f t="shared" si="106"/>
        <v>0.39484815749662749</v>
      </c>
      <c r="BW86" s="3">
        <f t="shared" si="107"/>
        <v>0.39484815749662749</v>
      </c>
      <c r="BX86" s="3">
        <f t="shared" si="108"/>
        <v>0.39484815749662749</v>
      </c>
      <c r="BY86" s="3">
        <f t="shared" si="109"/>
        <v>0.39484815749662749</v>
      </c>
      <c r="BZ86" s="3">
        <f t="shared" si="110"/>
        <v>0.39484815749662749</v>
      </c>
      <c r="CA86" s="3">
        <f t="shared" si="111"/>
        <v>0.39484815749662749</v>
      </c>
      <c r="CB86" s="3">
        <f t="shared" si="112"/>
        <v>0.39484815749662749</v>
      </c>
      <c r="CC86" s="3">
        <f t="shared" si="113"/>
        <v>0.39484815749662749</v>
      </c>
      <c r="CD86" s="3">
        <f t="shared" si="114"/>
        <v>0.39484815749662749</v>
      </c>
      <c r="CE86" s="3">
        <f t="shared" si="115"/>
        <v>0.39484815749662749</v>
      </c>
      <c r="CF86" s="3">
        <f t="shared" si="116"/>
        <v>0.39484815749662749</v>
      </c>
      <c r="CG86" s="3">
        <f t="shared" si="117"/>
        <v>0.39484815749662749</v>
      </c>
      <c r="CH86" s="3">
        <f t="shared" si="118"/>
        <v>0.39484815749662749</v>
      </c>
      <c r="CI86" s="3">
        <f t="shared" si="119"/>
        <v>0.39484815749662749</v>
      </c>
      <c r="CJ86" s="3">
        <f t="shared" si="120"/>
        <v>0.39484815749662749</v>
      </c>
      <c r="CK86" s="3">
        <f t="shared" si="121"/>
        <v>0.39484815749662749</v>
      </c>
      <c r="CL86" s="3">
        <f t="shared" si="122"/>
        <v>0.39484815749662749</v>
      </c>
      <c r="CM86" s="3">
        <f t="shared" si="123"/>
        <v>0.39484815749662749</v>
      </c>
      <c r="CN86" s="3">
        <f t="shared" si="124"/>
        <v>0.39484815749662749</v>
      </c>
      <c r="CO86" s="3">
        <f t="shared" si="125"/>
        <v>0.39484815749662749</v>
      </c>
      <c r="CP86" s="3">
        <f t="shared" si="126"/>
        <v>0.39484815749662749</v>
      </c>
      <c r="CQ86" s="3">
        <f t="shared" si="127"/>
        <v>0.39484815749662749</v>
      </c>
      <c r="CR86" s="3">
        <f t="shared" si="128"/>
        <v>0.39484815749662749</v>
      </c>
      <c r="CS86" s="3">
        <f t="shared" si="129"/>
        <v>0.39484815749662749</v>
      </c>
      <c r="CT86" s="3">
        <f t="shared" si="130"/>
        <v>0.39484815749662749</v>
      </c>
      <c r="CU86" s="3">
        <f t="shared" si="131"/>
        <v>0.39484815749662749</v>
      </c>
      <c r="CW86" s="28"/>
      <c r="CX86" s="3">
        <f t="shared" si="132"/>
        <v>181.54555275101174</v>
      </c>
      <c r="CY86" s="3">
        <f t="shared" si="133"/>
        <v>173.80238277019936</v>
      </c>
      <c r="CZ86" s="3">
        <f t="shared" si="134"/>
        <v>166.10174883107237</v>
      </c>
      <c r="DA86" s="3">
        <f t="shared" si="135"/>
        <v>158.48565610466383</v>
      </c>
      <c r="DB86" s="3">
        <f t="shared" si="136"/>
        <v>150.99505576686695</v>
      </c>
      <c r="DC86" s="3">
        <f t="shared" si="137"/>
        <v>143.66933720242568</v>
      </c>
      <c r="DD86" s="3">
        <f t="shared" si="138"/>
        <v>136.54584279754465</v>
      </c>
      <c r="DE86" s="3">
        <f t="shared" si="139"/>
        <v>129.65941211157369</v>
      </c>
      <c r="DF86" s="3">
        <f t="shared" si="140"/>
        <v>123.04196161661217</v>
      </c>
      <c r="DG86" s="3">
        <f t="shared" si="141"/>
        <v>116.72210548001365</v>
      </c>
      <c r="DH86" s="3">
        <f t="shared" si="142"/>
        <v>110.72482206150445</v>
      </c>
      <c r="DI86" s="3">
        <f t="shared" si="143"/>
        <v>105.07116992900988</v>
      </c>
      <c r="DJ86" s="3">
        <f t="shared" si="144"/>
        <v>99.778056291451321</v>
      </c>
      <c r="DK86" s="3">
        <f t="shared" si="145"/>
        <v>94.858059828878112</v>
      </c>
      <c r="DL86" s="3">
        <f t="shared" si="146"/>
        <v>90.31930899540933</v>
      </c>
      <c r="DM86" s="3">
        <f t="shared" si="147"/>
        <v>86.165416001613181</v>
      </c>
      <c r="DN86" s="3">
        <f t="shared" si="148"/>
        <v>82.395465870293265</v>
      </c>
      <c r="DO86" s="3">
        <f t="shared" si="149"/>
        <v>79.004059219764656</v>
      </c>
      <c r="DP86" s="3">
        <f t="shared" si="150"/>
        <v>75.9814067741288</v>
      </c>
      <c r="DQ86" s="3">
        <f t="shared" si="151"/>
        <v>73.313473039021844</v>
      </c>
      <c r="DR86" s="3">
        <f t="shared" si="152"/>
        <v>70.982166117669564</v>
      </c>
      <c r="DS86" s="3">
        <f t="shared" si="153"/>
        <v>68.965570275455605</v>
      </c>
      <c r="DT86" s="3">
        <f t="shared" si="154"/>
        <v>67.238217587332201</v>
      </c>
      <c r="DU86" s="3">
        <f t="shared" si="155"/>
        <v>65.771394813593844</v>
      </c>
      <c r="DV86" s="3">
        <f t="shared" si="156"/>
        <v>64.533481535352834</v>
      </c>
      <c r="DW86" s="3">
        <f t="shared" si="157"/>
        <v>63.490315528992873</v>
      </c>
      <c r="DX86" s="3">
        <f t="shared" si="158"/>
        <v>62.605581355157341</v>
      </c>
      <c r="DY86" s="3">
        <f t="shared" si="159"/>
        <v>61.841218168202026</v>
      </c>
      <c r="DZ86" s="3">
        <f t="shared" si="160"/>
        <v>61.157842802569</v>
      </c>
      <c r="EA86" s="3">
        <f t="shared" si="161"/>
        <v>60.515184250337256</v>
      </c>
    </row>
    <row r="87" spans="5:131" x14ac:dyDescent="0.3">
      <c r="E87" s="27"/>
      <c r="F87" s="17">
        <v>300</v>
      </c>
      <c r="G87" s="15">
        <f t="shared" si="164"/>
        <v>287.20458331783198</v>
      </c>
      <c r="H87" s="15">
        <f t="shared" si="165"/>
        <v>274.47945650127758</v>
      </c>
      <c r="I87" s="15">
        <f t="shared" si="166"/>
        <v>261.89403216396988</v>
      </c>
      <c r="J87" s="15">
        <f t="shared" si="167"/>
        <v>249.51598121594662</v>
      </c>
      <c r="K87" s="15">
        <f t="shared" si="168"/>
        <v>237.41039374200537</v>
      </c>
      <c r="L87" s="15">
        <f t="shared" si="169"/>
        <v>225.63897720725143</v>
      </c>
      <c r="M87" s="15">
        <f t="shared" si="170"/>
        <v>214.2593032109146</v>
      </c>
      <c r="N87" s="15">
        <f t="shared" si="171"/>
        <v>203.32411301536519</v>
      </c>
      <c r="O87" s="15">
        <f t="shared" si="172"/>
        <v>192.88069089761245</v>
      </c>
      <c r="P87" s="15">
        <f t="shared" si="173"/>
        <v>182.97031304318864</v>
      </c>
      <c r="Q87" s="15">
        <f t="shared" si="174"/>
        <v>173.62777826859931</v>
      </c>
      <c r="R87" s="15">
        <f t="shared" si="175"/>
        <v>164.88102536165587</v>
      </c>
      <c r="S87" s="15">
        <f t="shared" si="176"/>
        <v>156.75084031219731</v>
      </c>
      <c r="T87" s="15">
        <f t="shared" si="177"/>
        <v>149.25065521040034</v>
      </c>
      <c r="U87" s="15">
        <f t="shared" si="178"/>
        <v>142.38643915412518</v>
      </c>
      <c r="V87" s="15">
        <f t="shared" si="179"/>
        <v>136.15668016384512</v>
      </c>
      <c r="W87" s="15">
        <f t="shared" si="180"/>
        <v>130.55245588106158</v>
      </c>
      <c r="X87" s="15">
        <f t="shared" si="181"/>
        <v>125.55758974443734</v>
      </c>
      <c r="Y87" s="15">
        <f t="shared" si="182"/>
        <v>121.14888841078474</v>
      </c>
      <c r="Z87" s="15">
        <f t="shared" si="183"/>
        <v>117.29645542188693</v>
      </c>
      <c r="AA87" s="15">
        <f t="shared" si="184"/>
        <v>113.96407551228974</v>
      </c>
      <c r="AB87" s="15">
        <f t="shared" si="185"/>
        <v>111.10966350062378</v>
      </c>
      <c r="AC87" s="15">
        <f t="shared" si="186"/>
        <v>108.68577139501531</v>
      </c>
      <c r="AD87" s="15">
        <f t="shared" si="187"/>
        <v>106.64014715446099</v>
      </c>
      <c r="AE87" s="15">
        <f t="shared" si="188"/>
        <v>104.91633846201012</v>
      </c>
      <c r="AF87" s="15">
        <f t="shared" si="189"/>
        <v>103.45433485945048</v>
      </c>
      <c r="AG87" s="15">
        <f t="shared" si="190"/>
        <v>102.19124164338538</v>
      </c>
      <c r="AH87" s="15">
        <f t="shared" si="191"/>
        <v>101.06197900608419</v>
      </c>
      <c r="AI87" s="17">
        <v>100</v>
      </c>
      <c r="AK87" s="28"/>
      <c r="AL87" s="3">
        <f t="shared" si="163"/>
        <v>-1076400000</v>
      </c>
      <c r="AM87" s="3">
        <f t="shared" si="198"/>
        <v>-1030490044.9443809</v>
      </c>
      <c r="AN87" s="3">
        <f t="shared" si="199"/>
        <v>-984832289.92658377</v>
      </c>
      <c r="AO87" s="3">
        <f t="shared" si="200"/>
        <v>-939675787.40432394</v>
      </c>
      <c r="AP87" s="3">
        <f t="shared" si="201"/>
        <v>-895263340.60281646</v>
      </c>
      <c r="AQ87" s="3">
        <f t="shared" si="202"/>
        <v>-851828492.74631512</v>
      </c>
      <c r="AR87" s="3">
        <f t="shared" si="203"/>
        <v>-809592650.21961808</v>
      </c>
      <c r="AS87" s="3">
        <f t="shared" si="204"/>
        <v>-768762379.92076135</v>
      </c>
      <c r="AT87" s="3">
        <f t="shared" si="205"/>
        <v>-729526917.49913013</v>
      </c>
      <c r="AU87" s="3">
        <f t="shared" si="206"/>
        <v>-692055918.94063342</v>
      </c>
      <c r="AV87" s="3">
        <f t="shared" si="207"/>
        <v>-656497483.19896078</v>
      </c>
      <c r="AW87" s="3">
        <f t="shared" si="208"/>
        <v>-622976468.42773437</v>
      </c>
      <c r="AX87" s="3">
        <f t="shared" si="209"/>
        <v>-591593118.99762118</v>
      </c>
      <c r="AY87" s="3">
        <f t="shared" si="210"/>
        <v>-562422015.04016387</v>
      </c>
      <c r="AZ87" s="3">
        <f t="shared" si="211"/>
        <v>-535511350.8949163</v>
      </c>
      <c r="BA87" s="3">
        <f t="shared" si="212"/>
        <v>-510882543.68500108</v>
      </c>
      <c r="BB87" s="3">
        <f t="shared" si="213"/>
        <v>-488530168.42787629</v>
      </c>
      <c r="BC87" s="3">
        <f t="shared" si="214"/>
        <v>-468422211.70124894</v>
      </c>
      <c r="BD87" s="3">
        <f t="shared" si="215"/>
        <v>-450500632.00304109</v>
      </c>
      <c r="BE87" s="3">
        <f t="shared" si="216"/>
        <v>-434682211.6178956</v>
      </c>
      <c r="BF87" s="3">
        <f t="shared" si="217"/>
        <v>-420859682.05373025</v>
      </c>
      <c r="BG87" s="3">
        <f t="shared" si="218"/>
        <v>-408903102.93809557</v>
      </c>
      <c r="BH87" s="3">
        <f t="shared" si="219"/>
        <v>-398661472.64023811</v>
      </c>
      <c r="BI87" s="3">
        <f t="shared" si="220"/>
        <v>-389964547.76531482</v>
      </c>
      <c r="BJ87" s="3">
        <f t="shared" si="192"/>
        <v>-382624847.990206</v>
      </c>
      <c r="BK87" s="3">
        <f t="shared" si="193"/>
        <v>-376439822.40169227</v>
      </c>
      <c r="BL87" s="3">
        <f t="shared" si="194"/>
        <v>-371194153.47570831</v>
      </c>
      <c r="BM87" s="3">
        <f t="shared" si="195"/>
        <v>-366662175.01646668</v>
      </c>
      <c r="BN87" s="3">
        <f t="shared" si="196"/>
        <v>-362610380.67383009</v>
      </c>
      <c r="BO87" s="3">
        <f t="shared" si="197"/>
        <v>-358800000</v>
      </c>
      <c r="BQ87" s="28"/>
      <c r="BR87" s="3">
        <f t="shared" si="102"/>
        <v>0.39484816354146846</v>
      </c>
      <c r="BS87" s="3">
        <f t="shared" si="103"/>
        <v>0.39484816354146846</v>
      </c>
      <c r="BT87" s="3">
        <f t="shared" si="104"/>
        <v>0.39484816354146846</v>
      </c>
      <c r="BU87" s="3">
        <f t="shared" si="105"/>
        <v>0.39484816354146846</v>
      </c>
      <c r="BV87" s="3">
        <f t="shared" si="106"/>
        <v>0.39484816354146846</v>
      </c>
      <c r="BW87" s="3">
        <f t="shared" si="107"/>
        <v>0.39484816354146846</v>
      </c>
      <c r="BX87" s="3">
        <f t="shared" si="108"/>
        <v>0.39484816354146846</v>
      </c>
      <c r="BY87" s="3">
        <f t="shared" si="109"/>
        <v>0.39484816354146846</v>
      </c>
      <c r="BZ87" s="3">
        <f t="shared" si="110"/>
        <v>0.39484816354146846</v>
      </c>
      <c r="CA87" s="3">
        <f t="shared" si="111"/>
        <v>0.39484816354146846</v>
      </c>
      <c r="CB87" s="3">
        <f t="shared" si="112"/>
        <v>0.39484816354146846</v>
      </c>
      <c r="CC87" s="3">
        <f t="shared" si="113"/>
        <v>0.39484816354146846</v>
      </c>
      <c r="CD87" s="3">
        <f t="shared" si="114"/>
        <v>0.39484816354146846</v>
      </c>
      <c r="CE87" s="3">
        <f t="shared" si="115"/>
        <v>0.39484816354146846</v>
      </c>
      <c r="CF87" s="3">
        <f t="shared" si="116"/>
        <v>0.39484816354146846</v>
      </c>
      <c r="CG87" s="3">
        <f t="shared" si="117"/>
        <v>0.39484816354146846</v>
      </c>
      <c r="CH87" s="3">
        <f t="shared" si="118"/>
        <v>0.39484816354146846</v>
      </c>
      <c r="CI87" s="3">
        <f t="shared" si="119"/>
        <v>0.39484816354146846</v>
      </c>
      <c r="CJ87" s="3">
        <f t="shared" si="120"/>
        <v>0.39484816354146846</v>
      </c>
      <c r="CK87" s="3">
        <f t="shared" si="121"/>
        <v>0.39484816354146846</v>
      </c>
      <c r="CL87" s="3">
        <f t="shared" si="122"/>
        <v>0.39484816354146846</v>
      </c>
      <c r="CM87" s="3">
        <f t="shared" si="123"/>
        <v>0.39484816354146846</v>
      </c>
      <c r="CN87" s="3">
        <f t="shared" si="124"/>
        <v>0.39484816354146846</v>
      </c>
      <c r="CO87" s="3">
        <f t="shared" si="125"/>
        <v>0.39484816354146846</v>
      </c>
      <c r="CP87" s="3">
        <f t="shared" si="126"/>
        <v>0.39484816354146846</v>
      </c>
      <c r="CQ87" s="3">
        <f t="shared" si="127"/>
        <v>0.39484816354146846</v>
      </c>
      <c r="CR87" s="3">
        <f t="shared" si="128"/>
        <v>0.39484816354146846</v>
      </c>
      <c r="CS87" s="3">
        <f t="shared" si="129"/>
        <v>0.39484816354146846</v>
      </c>
      <c r="CT87" s="3">
        <f t="shared" si="130"/>
        <v>0.39484816354146846</v>
      </c>
      <c r="CU87" s="3">
        <f t="shared" si="131"/>
        <v>0.39484816354146846</v>
      </c>
      <c r="CW87" s="28"/>
      <c r="CX87" s="3">
        <f t="shared" si="132"/>
        <v>181.54555093755948</v>
      </c>
      <c r="CY87" s="3">
        <f t="shared" si="133"/>
        <v>173.80238103409334</v>
      </c>
      <c r="CZ87" s="3">
        <f t="shared" si="134"/>
        <v>166.10174717188775</v>
      </c>
      <c r="DA87" s="3">
        <f t="shared" si="135"/>
        <v>158.48565452155611</v>
      </c>
      <c r="DB87" s="3">
        <f t="shared" si="136"/>
        <v>150.99505425858257</v>
      </c>
      <c r="DC87" s="3">
        <f t="shared" si="137"/>
        <v>143.66933576731762</v>
      </c>
      <c r="DD87" s="3">
        <f t="shared" si="138"/>
        <v>136.54584143359295</v>
      </c>
      <c r="DE87" s="3">
        <f t="shared" si="139"/>
        <v>129.65941081641031</v>
      </c>
      <c r="DF87" s="3">
        <f t="shared" si="140"/>
        <v>123.04196038755026</v>
      </c>
      <c r="DG87" s="3">
        <f t="shared" si="141"/>
        <v>116.72210431408055</v>
      </c>
      <c r="DH87" s="3">
        <f t="shared" si="142"/>
        <v>110.72482095547801</v>
      </c>
      <c r="DI87" s="3">
        <f t="shared" si="143"/>
        <v>105.0711688794576</v>
      </c>
      <c r="DJ87" s="3">
        <f t="shared" si="144"/>
        <v>99.778055294771775</v>
      </c>
      <c r="DK87" s="3">
        <f t="shared" si="145"/>
        <v>94.85805888134422</v>
      </c>
      <c r="DL87" s="3">
        <f t="shared" si="146"/>
        <v>90.319308093212868</v>
      </c>
      <c r="DM87" s="3">
        <f t="shared" si="147"/>
        <v>86.165415140909815</v>
      </c>
      <c r="DN87" s="3">
        <f t="shared" si="148"/>
        <v>82.395465047247797</v>
      </c>
      <c r="DO87" s="3">
        <f t="shared" si="149"/>
        <v>79.004058430595833</v>
      </c>
      <c r="DP87" s="3">
        <f t="shared" si="150"/>
        <v>75.981406015153141</v>
      </c>
      <c r="DQ87" s="3">
        <f t="shared" si="151"/>
        <v>73.313472306696099</v>
      </c>
      <c r="DR87" s="3">
        <f t="shared" si="152"/>
        <v>70.982165408631161</v>
      </c>
      <c r="DS87" s="3">
        <f t="shared" si="153"/>
        <v>68.965569586560903</v>
      </c>
      <c r="DT87" s="3">
        <f t="shared" si="154"/>
        <v>67.238216915691964</v>
      </c>
      <c r="DU87" s="3">
        <f t="shared" si="155"/>
        <v>65.771394156605652</v>
      </c>
      <c r="DV87" s="3">
        <f t="shared" si="156"/>
        <v>64.533480890730118</v>
      </c>
      <c r="DW87" s="3">
        <f t="shared" si="157"/>
        <v>63.490314894790295</v>
      </c>
      <c r="DX87" s="3">
        <f t="shared" si="158"/>
        <v>62.605580729792344</v>
      </c>
      <c r="DY87" s="3">
        <f t="shared" si="159"/>
        <v>61.841217550472237</v>
      </c>
      <c r="DZ87" s="3">
        <f t="shared" si="160"/>
        <v>61.157842191665416</v>
      </c>
      <c r="EA87" s="3">
        <f t="shared" si="161"/>
        <v>60.515183645853163</v>
      </c>
    </row>
    <row r="88" spans="5:131" x14ac:dyDescent="0.3">
      <c r="E88" s="27"/>
      <c r="F88" s="17">
        <v>300</v>
      </c>
      <c r="G88" s="15">
        <f t="shared" si="164"/>
        <v>287.20458331783192</v>
      </c>
      <c r="H88" s="15">
        <f t="shared" si="165"/>
        <v>274.47945650127758</v>
      </c>
      <c r="I88" s="15">
        <f t="shared" si="166"/>
        <v>261.89403216396988</v>
      </c>
      <c r="J88" s="15">
        <f t="shared" si="167"/>
        <v>249.5159812159466</v>
      </c>
      <c r="K88" s="15">
        <f t="shared" si="168"/>
        <v>237.41039374200534</v>
      </c>
      <c r="L88" s="15">
        <f t="shared" si="169"/>
        <v>225.6389772072514</v>
      </c>
      <c r="M88" s="15">
        <f t="shared" si="170"/>
        <v>214.2593032109146</v>
      </c>
      <c r="N88" s="15">
        <f t="shared" si="171"/>
        <v>203.32411301536516</v>
      </c>
      <c r="O88" s="15">
        <f t="shared" si="172"/>
        <v>192.88069089761245</v>
      </c>
      <c r="P88" s="15">
        <f t="shared" si="173"/>
        <v>182.97031304318864</v>
      </c>
      <c r="Q88" s="15">
        <f t="shared" si="174"/>
        <v>173.62777826859931</v>
      </c>
      <c r="R88" s="15">
        <f t="shared" si="175"/>
        <v>164.88102536165587</v>
      </c>
      <c r="S88" s="15">
        <f t="shared" si="176"/>
        <v>156.75084031219731</v>
      </c>
      <c r="T88" s="15">
        <f t="shared" si="177"/>
        <v>149.25065521040031</v>
      </c>
      <c r="U88" s="15">
        <f t="shared" si="178"/>
        <v>142.38643915412518</v>
      </c>
      <c r="V88" s="15">
        <f t="shared" si="179"/>
        <v>136.15668016384512</v>
      </c>
      <c r="W88" s="15">
        <f t="shared" si="180"/>
        <v>130.55245588106158</v>
      </c>
      <c r="X88" s="15">
        <f t="shared" si="181"/>
        <v>125.55758974443731</v>
      </c>
      <c r="Y88" s="15">
        <f t="shared" si="182"/>
        <v>121.14888841078474</v>
      </c>
      <c r="Z88" s="15">
        <f t="shared" si="183"/>
        <v>117.29645542188692</v>
      </c>
      <c r="AA88" s="15">
        <f t="shared" si="184"/>
        <v>113.96407551228974</v>
      </c>
      <c r="AB88" s="15">
        <f t="shared" si="185"/>
        <v>111.10966350062378</v>
      </c>
      <c r="AC88" s="15">
        <f t="shared" si="186"/>
        <v>108.68577139501531</v>
      </c>
      <c r="AD88" s="15">
        <f t="shared" si="187"/>
        <v>106.640147154461</v>
      </c>
      <c r="AE88" s="15">
        <f t="shared" si="188"/>
        <v>104.91633846201012</v>
      </c>
      <c r="AF88" s="15">
        <f t="shared" si="189"/>
        <v>103.45433485945048</v>
      </c>
      <c r="AG88" s="15">
        <f t="shared" si="190"/>
        <v>102.19124164338538</v>
      </c>
      <c r="AH88" s="15">
        <f t="shared" si="191"/>
        <v>101.06197900608419</v>
      </c>
      <c r="AI88" s="17">
        <v>100</v>
      </c>
      <c r="AK88" s="28"/>
      <c r="AL88" s="3">
        <f t="shared" si="163"/>
        <v>-1076400000</v>
      </c>
      <c r="AM88" s="3">
        <f t="shared" si="198"/>
        <v>-1030490044.9443809</v>
      </c>
      <c r="AN88" s="3">
        <f t="shared" si="199"/>
        <v>-984832289.92658377</v>
      </c>
      <c r="AO88" s="3">
        <f t="shared" si="200"/>
        <v>-939675787.40432394</v>
      </c>
      <c r="AP88" s="3">
        <f t="shared" si="201"/>
        <v>-895263340.60281622</v>
      </c>
      <c r="AQ88" s="3">
        <f t="shared" si="202"/>
        <v>-851828492.746315</v>
      </c>
      <c r="AR88" s="3">
        <f t="shared" si="203"/>
        <v>-809592650.21961808</v>
      </c>
      <c r="AS88" s="3">
        <f t="shared" si="204"/>
        <v>-768762379.92076135</v>
      </c>
      <c r="AT88" s="3">
        <f t="shared" si="205"/>
        <v>-729526917.49913013</v>
      </c>
      <c r="AU88" s="3">
        <f t="shared" si="206"/>
        <v>-692055918.94063342</v>
      </c>
      <c r="AV88" s="3">
        <f t="shared" si="207"/>
        <v>-656497483.19896078</v>
      </c>
      <c r="AW88" s="3">
        <f t="shared" si="208"/>
        <v>-622976468.42773437</v>
      </c>
      <c r="AX88" s="3">
        <f t="shared" si="209"/>
        <v>-591593118.99762118</v>
      </c>
      <c r="AY88" s="3">
        <f t="shared" si="210"/>
        <v>-562422015.04016387</v>
      </c>
      <c r="AZ88" s="3">
        <f t="shared" si="211"/>
        <v>-535511350.8949163</v>
      </c>
      <c r="BA88" s="3">
        <f t="shared" si="212"/>
        <v>-510882543.68500108</v>
      </c>
      <c r="BB88" s="3">
        <f t="shared" si="213"/>
        <v>-488530168.42787629</v>
      </c>
      <c r="BC88" s="3">
        <f t="shared" si="214"/>
        <v>-468422211.70124894</v>
      </c>
      <c r="BD88" s="3">
        <f t="shared" si="215"/>
        <v>-450500632.00304109</v>
      </c>
      <c r="BE88" s="3">
        <f t="shared" si="216"/>
        <v>-434682211.6178956</v>
      </c>
      <c r="BF88" s="3">
        <f t="shared" si="217"/>
        <v>-420859682.05373019</v>
      </c>
      <c r="BG88" s="3">
        <f t="shared" si="218"/>
        <v>-408903102.93809551</v>
      </c>
      <c r="BH88" s="3">
        <f t="shared" si="219"/>
        <v>-398661472.64023811</v>
      </c>
      <c r="BI88" s="3">
        <f t="shared" si="220"/>
        <v>-389964547.76531482</v>
      </c>
      <c r="BJ88" s="3">
        <f t="shared" si="192"/>
        <v>-382624847.990206</v>
      </c>
      <c r="BK88" s="3">
        <f t="shared" si="193"/>
        <v>-376439822.40169227</v>
      </c>
      <c r="BL88" s="3">
        <f t="shared" si="194"/>
        <v>-371194153.47570831</v>
      </c>
      <c r="BM88" s="3">
        <f t="shared" si="195"/>
        <v>-366662175.01646668</v>
      </c>
      <c r="BN88" s="3">
        <f t="shared" si="196"/>
        <v>-362610380.67383003</v>
      </c>
      <c r="BO88" s="3">
        <f t="shared" si="197"/>
        <v>-358800000</v>
      </c>
      <c r="BQ88" s="28"/>
      <c r="BR88" s="3">
        <f t="shared" si="102"/>
        <v>0.39484820231404288</v>
      </c>
      <c r="BS88" s="3">
        <f t="shared" si="103"/>
        <v>0.39484820231404288</v>
      </c>
      <c r="BT88" s="3">
        <f t="shared" si="104"/>
        <v>0.39484820231404288</v>
      </c>
      <c r="BU88" s="3">
        <f t="shared" si="105"/>
        <v>0.39484820231404288</v>
      </c>
      <c r="BV88" s="3">
        <f t="shared" si="106"/>
        <v>0.39484820231404288</v>
      </c>
      <c r="BW88" s="3">
        <f t="shared" si="107"/>
        <v>0.39484820231404288</v>
      </c>
      <c r="BX88" s="3">
        <f t="shared" si="108"/>
        <v>0.39484820231404288</v>
      </c>
      <c r="BY88" s="3">
        <f t="shared" si="109"/>
        <v>0.39484820231404288</v>
      </c>
      <c r="BZ88" s="3">
        <f t="shared" si="110"/>
        <v>0.39484820231404288</v>
      </c>
      <c r="CA88" s="3">
        <f t="shared" si="111"/>
        <v>0.39484820231404288</v>
      </c>
      <c r="CB88" s="3">
        <f t="shared" si="112"/>
        <v>0.39484820231404288</v>
      </c>
      <c r="CC88" s="3">
        <f t="shared" si="113"/>
        <v>0.39484820231404288</v>
      </c>
      <c r="CD88" s="3">
        <f t="shared" si="114"/>
        <v>0.39484820231404288</v>
      </c>
      <c r="CE88" s="3">
        <f t="shared" si="115"/>
        <v>0.39484820231404288</v>
      </c>
      <c r="CF88" s="3">
        <f t="shared" si="116"/>
        <v>0.39484820231404288</v>
      </c>
      <c r="CG88" s="3">
        <f t="shared" si="117"/>
        <v>0.39484820231404288</v>
      </c>
      <c r="CH88" s="3">
        <f t="shared" si="118"/>
        <v>0.39484820231404288</v>
      </c>
      <c r="CI88" s="3">
        <f t="shared" si="119"/>
        <v>0.39484820231404288</v>
      </c>
      <c r="CJ88" s="3">
        <f t="shared" si="120"/>
        <v>0.39484820231404288</v>
      </c>
      <c r="CK88" s="3">
        <f t="shared" si="121"/>
        <v>0.39484820231404288</v>
      </c>
      <c r="CL88" s="3">
        <f t="shared" si="122"/>
        <v>0.39484820231404288</v>
      </c>
      <c r="CM88" s="3">
        <f t="shared" si="123"/>
        <v>0.39484820231404288</v>
      </c>
      <c r="CN88" s="3">
        <f t="shared" si="124"/>
        <v>0.39484820231404288</v>
      </c>
      <c r="CO88" s="3">
        <f t="shared" si="125"/>
        <v>0.39484820231404288</v>
      </c>
      <c r="CP88" s="3">
        <f t="shared" si="126"/>
        <v>0.39484820231404288</v>
      </c>
      <c r="CQ88" s="3">
        <f t="shared" si="127"/>
        <v>0.39484820231404288</v>
      </c>
      <c r="CR88" s="3">
        <f t="shared" si="128"/>
        <v>0.39484820231404288</v>
      </c>
      <c r="CS88" s="3">
        <f t="shared" si="129"/>
        <v>0.39484820231404288</v>
      </c>
      <c r="CT88" s="3">
        <f t="shared" si="130"/>
        <v>0.39484820231404288</v>
      </c>
      <c r="CU88" s="3">
        <f t="shared" si="131"/>
        <v>0.39484820231404288</v>
      </c>
      <c r="CW88" s="28"/>
      <c r="CX88" s="3">
        <f t="shared" si="132"/>
        <v>181.54553930578717</v>
      </c>
      <c r="CY88" s="3">
        <f t="shared" si="133"/>
        <v>173.80236989843223</v>
      </c>
      <c r="CZ88" s="3">
        <f t="shared" si="134"/>
        <v>166.10173652961259</v>
      </c>
      <c r="DA88" s="3">
        <f t="shared" si="135"/>
        <v>158.48564436725025</v>
      </c>
      <c r="DB88" s="3">
        <f t="shared" si="136"/>
        <v>150.99504458420557</v>
      </c>
      <c r="DC88" s="3">
        <f t="shared" si="137"/>
        <v>143.66932656230543</v>
      </c>
      <c r="DD88" s="3">
        <f t="shared" si="138"/>
        <v>136.54583268498888</v>
      </c>
      <c r="DE88" s="3">
        <f t="shared" si="139"/>
        <v>129.65940250902551</v>
      </c>
      <c r="DF88" s="3">
        <f t="shared" si="140"/>
        <v>123.04195250415093</v>
      </c>
      <c r="DG88" s="3">
        <f t="shared" si="141"/>
        <v>116.7220968355996</v>
      </c>
      <c r="DH88" s="3">
        <f t="shared" si="142"/>
        <v>110.72481386124794</v>
      </c>
      <c r="DI88" s="3">
        <f t="shared" si="143"/>
        <v>105.07116214746164</v>
      </c>
      <c r="DJ88" s="3">
        <f t="shared" si="144"/>
        <v>99.778048901909926</v>
      </c>
      <c r="DK88" s="3">
        <f t="shared" si="145"/>
        <v>94.858052803710592</v>
      </c>
      <c r="DL88" s="3">
        <f t="shared" si="146"/>
        <v>90.319302306380706</v>
      </c>
      <c r="DM88" s="3">
        <f t="shared" si="147"/>
        <v>86.165409620220998</v>
      </c>
      <c r="DN88" s="3">
        <f t="shared" si="148"/>
        <v>82.395459768102768</v>
      </c>
      <c r="DO88" s="3">
        <f t="shared" si="149"/>
        <v>79.004053368741012</v>
      </c>
      <c r="DP88" s="3">
        <f t="shared" si="150"/>
        <v>75.981401146962128</v>
      </c>
      <c r="DQ88" s="3">
        <f t="shared" si="151"/>
        <v>73.313467609441801</v>
      </c>
      <c r="DR88" s="3">
        <f t="shared" si="152"/>
        <v>70.982160860745594</v>
      </c>
      <c r="DS88" s="3">
        <f t="shared" si="153"/>
        <v>68.9655651678803</v>
      </c>
      <c r="DT88" s="3">
        <f t="shared" si="154"/>
        <v>67.238212607684261</v>
      </c>
      <c r="DU88" s="3">
        <f t="shared" si="155"/>
        <v>65.77138994257848</v>
      </c>
      <c r="DV88" s="3">
        <f t="shared" si="156"/>
        <v>64.53347675601708</v>
      </c>
      <c r="DW88" s="3">
        <f t="shared" si="157"/>
        <v>63.490310826913742</v>
      </c>
      <c r="DX88" s="3">
        <f t="shared" si="158"/>
        <v>62.605576718601441</v>
      </c>
      <c r="DY88" s="3">
        <f t="shared" si="159"/>
        <v>61.84121358825471</v>
      </c>
      <c r="DZ88" s="3">
        <f t="shared" si="160"/>
        <v>61.157838273232301</v>
      </c>
      <c r="EA88" s="3">
        <f t="shared" si="161"/>
        <v>60.515179768595715</v>
      </c>
    </row>
    <row r="89" spans="5:131" x14ac:dyDescent="0.3">
      <c r="E89" s="27"/>
      <c r="F89" s="17">
        <v>300</v>
      </c>
      <c r="G89" s="15">
        <f t="shared" si="164"/>
        <v>287.20458331783192</v>
      </c>
      <c r="H89" s="15">
        <f t="shared" si="165"/>
        <v>274.47945650127753</v>
      </c>
      <c r="I89" s="15">
        <f t="shared" si="166"/>
        <v>261.89403216396988</v>
      </c>
      <c r="J89" s="15">
        <f t="shared" si="167"/>
        <v>249.51598121594657</v>
      </c>
      <c r="K89" s="15">
        <f t="shared" si="168"/>
        <v>237.41039374200534</v>
      </c>
      <c r="L89" s="15">
        <f t="shared" si="169"/>
        <v>225.63897720725134</v>
      </c>
      <c r="M89" s="15">
        <f t="shared" si="170"/>
        <v>214.25930321091454</v>
      </c>
      <c r="N89" s="15">
        <f t="shared" si="171"/>
        <v>203.32411301536513</v>
      </c>
      <c r="O89" s="15">
        <f t="shared" si="172"/>
        <v>192.88069089761242</v>
      </c>
      <c r="P89" s="15">
        <f t="shared" si="173"/>
        <v>182.97031304318864</v>
      </c>
      <c r="Q89" s="15">
        <f t="shared" si="174"/>
        <v>173.62777826859929</v>
      </c>
      <c r="R89" s="15">
        <f t="shared" si="175"/>
        <v>164.88102536165582</v>
      </c>
      <c r="S89" s="15">
        <f t="shared" si="176"/>
        <v>156.75084031219728</v>
      </c>
      <c r="T89" s="15">
        <f t="shared" si="177"/>
        <v>149.25065521040031</v>
      </c>
      <c r="U89" s="15">
        <f t="shared" si="178"/>
        <v>142.38643915412513</v>
      </c>
      <c r="V89" s="15">
        <f t="shared" si="179"/>
        <v>136.1566801638451</v>
      </c>
      <c r="W89" s="15">
        <f t="shared" si="180"/>
        <v>130.55245588106152</v>
      </c>
      <c r="X89" s="15">
        <f t="shared" si="181"/>
        <v>125.55758974443728</v>
      </c>
      <c r="Y89" s="15">
        <f t="shared" si="182"/>
        <v>121.14888841078471</v>
      </c>
      <c r="Z89" s="15">
        <f t="shared" si="183"/>
        <v>117.29645542188689</v>
      </c>
      <c r="AA89" s="15">
        <f t="shared" si="184"/>
        <v>113.96407551228972</v>
      </c>
      <c r="AB89" s="15">
        <f t="shared" si="185"/>
        <v>111.10966350062378</v>
      </c>
      <c r="AC89" s="15">
        <f t="shared" si="186"/>
        <v>108.68577139501528</v>
      </c>
      <c r="AD89" s="15">
        <f t="shared" si="187"/>
        <v>106.64014715446098</v>
      </c>
      <c r="AE89" s="15">
        <f t="shared" si="188"/>
        <v>104.91633846201009</v>
      </c>
      <c r="AF89" s="15">
        <f t="shared" si="189"/>
        <v>103.45433485945047</v>
      </c>
      <c r="AG89" s="15">
        <f t="shared" si="190"/>
        <v>102.19124164338538</v>
      </c>
      <c r="AH89" s="15">
        <f t="shared" si="191"/>
        <v>101.06197900608419</v>
      </c>
      <c r="AI89" s="17">
        <v>100</v>
      </c>
      <c r="AK89" s="28"/>
      <c r="AL89" s="3">
        <f t="shared" si="163"/>
        <v>-1076400000</v>
      </c>
      <c r="AM89" s="3">
        <f t="shared" si="198"/>
        <v>-1030490044.9443809</v>
      </c>
      <c r="AN89" s="3">
        <f t="shared" si="199"/>
        <v>-984832289.92658353</v>
      </c>
      <c r="AO89" s="3">
        <f t="shared" si="200"/>
        <v>-939675787.4043237</v>
      </c>
      <c r="AP89" s="3">
        <f t="shared" si="201"/>
        <v>-895263340.60281622</v>
      </c>
      <c r="AQ89" s="3">
        <f t="shared" si="202"/>
        <v>-851828492.746315</v>
      </c>
      <c r="AR89" s="3">
        <f t="shared" si="203"/>
        <v>-809592650.21961784</v>
      </c>
      <c r="AS89" s="3">
        <f t="shared" si="204"/>
        <v>-768762379.92076123</v>
      </c>
      <c r="AT89" s="3">
        <f t="shared" si="205"/>
        <v>-729526917.49913013</v>
      </c>
      <c r="AU89" s="3">
        <f t="shared" si="206"/>
        <v>-692055918.94063342</v>
      </c>
      <c r="AV89" s="3">
        <f t="shared" si="207"/>
        <v>-656497483.19896078</v>
      </c>
      <c r="AW89" s="3">
        <f t="shared" si="208"/>
        <v>-622976468.42773426</v>
      </c>
      <c r="AX89" s="3">
        <f t="shared" si="209"/>
        <v>-591593118.99762106</v>
      </c>
      <c r="AY89" s="3">
        <f t="shared" si="210"/>
        <v>-562422015.04016387</v>
      </c>
      <c r="AZ89" s="3">
        <f t="shared" si="211"/>
        <v>-535511350.89491624</v>
      </c>
      <c r="BA89" s="3">
        <f t="shared" si="212"/>
        <v>-510882543.68500096</v>
      </c>
      <c r="BB89" s="3">
        <f t="shared" si="213"/>
        <v>-488530168.42787611</v>
      </c>
      <c r="BC89" s="3">
        <f t="shared" si="214"/>
        <v>-468422211.70124871</v>
      </c>
      <c r="BD89" s="3">
        <f t="shared" si="215"/>
        <v>-450500632.00304091</v>
      </c>
      <c r="BE89" s="3">
        <f t="shared" si="216"/>
        <v>-434682211.61789554</v>
      </c>
      <c r="BF89" s="3">
        <f t="shared" si="217"/>
        <v>-420859682.05373019</v>
      </c>
      <c r="BG89" s="3">
        <f t="shared" si="218"/>
        <v>-408903102.93809551</v>
      </c>
      <c r="BH89" s="3">
        <f t="shared" si="219"/>
        <v>-398661472.64023805</v>
      </c>
      <c r="BI89" s="3">
        <f t="shared" si="220"/>
        <v>-389964547.7653147</v>
      </c>
      <c r="BJ89" s="3">
        <f t="shared" si="192"/>
        <v>-382624847.99020588</v>
      </c>
      <c r="BK89" s="3">
        <f t="shared" si="193"/>
        <v>-376439822.40169221</v>
      </c>
      <c r="BL89" s="3">
        <f t="shared" si="194"/>
        <v>-371194153.47570825</v>
      </c>
      <c r="BM89" s="3">
        <f t="shared" si="195"/>
        <v>-366662175.01646668</v>
      </c>
      <c r="BN89" s="3">
        <f t="shared" si="196"/>
        <v>-362610380.67383003</v>
      </c>
      <c r="BO89" s="3">
        <f t="shared" si="197"/>
        <v>-358800000</v>
      </c>
      <c r="BQ89" s="28"/>
      <c r="BR89" s="3">
        <f t="shared" si="102"/>
        <v>0.39484845100749483</v>
      </c>
      <c r="BS89" s="3">
        <f t="shared" si="103"/>
        <v>0.39484845100749483</v>
      </c>
      <c r="BT89" s="3">
        <f t="shared" si="104"/>
        <v>0.39484845100749483</v>
      </c>
      <c r="BU89" s="3">
        <f t="shared" si="105"/>
        <v>0.39484845100749483</v>
      </c>
      <c r="BV89" s="3">
        <f t="shared" si="106"/>
        <v>0.39484845100749483</v>
      </c>
      <c r="BW89" s="3">
        <f t="shared" si="107"/>
        <v>0.39484845100749483</v>
      </c>
      <c r="BX89" s="3">
        <f t="shared" si="108"/>
        <v>0.39484845100749483</v>
      </c>
      <c r="BY89" s="3">
        <f t="shared" si="109"/>
        <v>0.39484845100749483</v>
      </c>
      <c r="BZ89" s="3">
        <f t="shared" si="110"/>
        <v>0.39484845100749483</v>
      </c>
      <c r="CA89" s="3">
        <f t="shared" si="111"/>
        <v>0.39484845100749483</v>
      </c>
      <c r="CB89" s="3">
        <f t="shared" si="112"/>
        <v>0.39484845100749483</v>
      </c>
      <c r="CC89" s="3">
        <f t="shared" si="113"/>
        <v>0.39484845100749483</v>
      </c>
      <c r="CD89" s="3">
        <f t="shared" si="114"/>
        <v>0.39484845100749483</v>
      </c>
      <c r="CE89" s="3">
        <f t="shared" si="115"/>
        <v>0.39484845100749483</v>
      </c>
      <c r="CF89" s="3">
        <f t="shared" si="116"/>
        <v>0.39484845100749483</v>
      </c>
      <c r="CG89" s="3">
        <f t="shared" si="117"/>
        <v>0.39484845100749483</v>
      </c>
      <c r="CH89" s="3">
        <f t="shared" si="118"/>
        <v>0.39484845100749483</v>
      </c>
      <c r="CI89" s="3">
        <f t="shared" si="119"/>
        <v>0.39484845100749483</v>
      </c>
      <c r="CJ89" s="3">
        <f t="shared" si="120"/>
        <v>0.39484845100749483</v>
      </c>
      <c r="CK89" s="3">
        <f t="shared" si="121"/>
        <v>0.39484845100749483</v>
      </c>
      <c r="CL89" s="3">
        <f t="shared" si="122"/>
        <v>0.39484845100749483</v>
      </c>
      <c r="CM89" s="3">
        <f t="shared" si="123"/>
        <v>0.39484845100749483</v>
      </c>
      <c r="CN89" s="3">
        <f t="shared" si="124"/>
        <v>0.39484845100749483</v>
      </c>
      <c r="CO89" s="3">
        <f t="shared" si="125"/>
        <v>0.39484845100749483</v>
      </c>
      <c r="CP89" s="3">
        <f t="shared" si="126"/>
        <v>0.39484845100749483</v>
      </c>
      <c r="CQ89" s="3">
        <f t="shared" si="127"/>
        <v>0.39484845100749483</v>
      </c>
      <c r="CR89" s="3">
        <f t="shared" si="128"/>
        <v>0.39484845100749483</v>
      </c>
      <c r="CS89" s="3">
        <f t="shared" si="129"/>
        <v>0.39484845100749483</v>
      </c>
      <c r="CT89" s="3">
        <f t="shared" si="130"/>
        <v>0.39484845100749483</v>
      </c>
      <c r="CU89" s="3">
        <f t="shared" si="131"/>
        <v>0.39484845100749483</v>
      </c>
      <c r="CW89" s="28"/>
      <c r="CX89" s="3">
        <f t="shared" si="132"/>
        <v>181.54546469775156</v>
      </c>
      <c r="CY89" s="3">
        <f t="shared" si="133"/>
        <v>173.80229847253298</v>
      </c>
      <c r="CZ89" s="3">
        <f t="shared" si="134"/>
        <v>166.101668268369</v>
      </c>
      <c r="DA89" s="3">
        <f t="shared" si="135"/>
        <v>158.48557923591932</v>
      </c>
      <c r="DB89" s="3">
        <f t="shared" si="136"/>
        <v>150.99498253121487</v>
      </c>
      <c r="DC89" s="3">
        <f t="shared" si="137"/>
        <v>143.66926751989507</v>
      </c>
      <c r="DD89" s="3">
        <f t="shared" si="138"/>
        <v>136.54577657005271</v>
      </c>
      <c r="DE89" s="3">
        <f t="shared" si="139"/>
        <v>129.65934922413973</v>
      </c>
      <c r="DF89" s="3">
        <f t="shared" si="140"/>
        <v>123.04190193877537</v>
      </c>
      <c r="DG89" s="3">
        <f t="shared" si="141"/>
        <v>116.72204886743474</v>
      </c>
      <c r="DH89" s="3">
        <f t="shared" si="142"/>
        <v>110.72476835772916</v>
      </c>
      <c r="DI89" s="3">
        <f t="shared" si="143"/>
        <v>105.07111896737008</v>
      </c>
      <c r="DJ89" s="3">
        <f t="shared" si="144"/>
        <v>99.778007897078538</v>
      </c>
      <c r="DK89" s="3">
        <f t="shared" si="145"/>
        <v>94.858013820802995</v>
      </c>
      <c r="DL89" s="3">
        <f t="shared" si="146"/>
        <v>90.319265188720053</v>
      </c>
      <c r="DM89" s="3">
        <f t="shared" si="147"/>
        <v>86.165374209645904</v>
      </c>
      <c r="DN89" s="3">
        <f t="shared" si="148"/>
        <v>82.395425906827953</v>
      </c>
      <c r="DO89" s="3">
        <f t="shared" si="149"/>
        <v>79.004020901200064</v>
      </c>
      <c r="DP89" s="3">
        <f t="shared" si="150"/>
        <v>75.981369921611687</v>
      </c>
      <c r="DQ89" s="3">
        <f t="shared" si="151"/>
        <v>73.313437480506508</v>
      </c>
      <c r="DR89" s="3">
        <f t="shared" si="152"/>
        <v>70.982131689885179</v>
      </c>
      <c r="DS89" s="3">
        <f t="shared" si="153"/>
        <v>68.96553682576095</v>
      </c>
      <c r="DT89" s="3">
        <f t="shared" si="154"/>
        <v>67.238184975438486</v>
      </c>
      <c r="DU89" s="3">
        <f t="shared" si="155"/>
        <v>65.771362913138788</v>
      </c>
      <c r="DV89" s="3">
        <f t="shared" si="156"/>
        <v>64.533450235310738</v>
      </c>
      <c r="DW89" s="3">
        <f t="shared" si="157"/>
        <v>63.490284734907348</v>
      </c>
      <c r="DX89" s="3">
        <f t="shared" si="158"/>
        <v>62.605550990185769</v>
      </c>
      <c r="DY89" s="3">
        <f t="shared" si="159"/>
        <v>61.84118817396206</v>
      </c>
      <c r="DZ89" s="3">
        <f t="shared" si="160"/>
        <v>61.157813139779883</v>
      </c>
      <c r="EA89" s="3">
        <f t="shared" si="161"/>
        <v>60.515154899250518</v>
      </c>
    </row>
    <row r="90" spans="5:131" x14ac:dyDescent="0.3">
      <c r="E90" s="27"/>
      <c r="F90" s="17">
        <v>300</v>
      </c>
      <c r="G90" s="15">
        <f t="shared" si="164"/>
        <v>287.20458331783186</v>
      </c>
      <c r="H90" s="15">
        <f t="shared" si="165"/>
        <v>274.47945650127747</v>
      </c>
      <c r="I90" s="15">
        <f t="shared" si="166"/>
        <v>261.89403216396983</v>
      </c>
      <c r="J90" s="15">
        <f t="shared" si="167"/>
        <v>249.51598121594657</v>
      </c>
      <c r="K90" s="15">
        <f t="shared" si="168"/>
        <v>237.41039374200528</v>
      </c>
      <c r="L90" s="15">
        <f t="shared" si="169"/>
        <v>225.63897720725129</v>
      </c>
      <c r="M90" s="15">
        <f t="shared" si="170"/>
        <v>214.25930321091448</v>
      </c>
      <c r="N90" s="15">
        <f t="shared" si="171"/>
        <v>203.32411301536507</v>
      </c>
      <c r="O90" s="15">
        <f t="shared" si="172"/>
        <v>192.8806908976124</v>
      </c>
      <c r="P90" s="15">
        <f t="shared" si="173"/>
        <v>182.97031304318858</v>
      </c>
      <c r="Q90" s="15">
        <f t="shared" si="174"/>
        <v>173.62777826859926</v>
      </c>
      <c r="R90" s="15">
        <f t="shared" si="175"/>
        <v>164.88102536165579</v>
      </c>
      <c r="S90" s="15">
        <f t="shared" si="176"/>
        <v>156.75084031219725</v>
      </c>
      <c r="T90" s="15">
        <f t="shared" si="177"/>
        <v>149.25065521040028</v>
      </c>
      <c r="U90" s="15">
        <f t="shared" si="178"/>
        <v>142.38643915412513</v>
      </c>
      <c r="V90" s="15">
        <f t="shared" si="179"/>
        <v>136.15668016384507</v>
      </c>
      <c r="W90" s="15">
        <f t="shared" si="180"/>
        <v>130.55245588106152</v>
      </c>
      <c r="X90" s="15">
        <f t="shared" si="181"/>
        <v>125.55758974443724</v>
      </c>
      <c r="Y90" s="15">
        <f t="shared" si="182"/>
        <v>121.14888841078466</v>
      </c>
      <c r="Z90" s="15">
        <f t="shared" si="183"/>
        <v>117.29645542188688</v>
      </c>
      <c r="AA90" s="15">
        <f t="shared" si="184"/>
        <v>113.96407551228971</v>
      </c>
      <c r="AB90" s="15">
        <f t="shared" si="185"/>
        <v>111.10966350062375</v>
      </c>
      <c r="AC90" s="15">
        <f t="shared" si="186"/>
        <v>108.68577139501525</v>
      </c>
      <c r="AD90" s="15">
        <f t="shared" si="187"/>
        <v>106.64014715446095</v>
      </c>
      <c r="AE90" s="15">
        <f t="shared" si="188"/>
        <v>104.91633846201006</v>
      </c>
      <c r="AF90" s="15">
        <f t="shared" si="189"/>
        <v>103.45433485945046</v>
      </c>
      <c r="AG90" s="15">
        <f t="shared" si="190"/>
        <v>102.19124164338537</v>
      </c>
      <c r="AH90" s="15">
        <f t="shared" si="191"/>
        <v>101.06197900608419</v>
      </c>
      <c r="AI90" s="17">
        <v>100</v>
      </c>
      <c r="AK90" s="28"/>
      <c r="AL90" s="3">
        <f t="shared" si="163"/>
        <v>-1076400000</v>
      </c>
      <c r="AM90" s="3">
        <f t="shared" si="198"/>
        <v>-1030490044.9443809</v>
      </c>
      <c r="AN90" s="3">
        <f t="shared" si="199"/>
        <v>-984832289.92658353</v>
      </c>
      <c r="AO90" s="3">
        <f t="shared" si="200"/>
        <v>-939675787.4043237</v>
      </c>
      <c r="AP90" s="3">
        <f t="shared" si="201"/>
        <v>-895263340.60281622</v>
      </c>
      <c r="AQ90" s="3">
        <f t="shared" si="202"/>
        <v>-851828492.746315</v>
      </c>
      <c r="AR90" s="3">
        <f t="shared" si="203"/>
        <v>-809592650.21961784</v>
      </c>
      <c r="AS90" s="3">
        <f t="shared" si="204"/>
        <v>-768762379.92076111</v>
      </c>
      <c r="AT90" s="3">
        <f t="shared" si="205"/>
        <v>-729526917.49912989</v>
      </c>
      <c r="AU90" s="3">
        <f t="shared" si="206"/>
        <v>-692055918.9406333</v>
      </c>
      <c r="AV90" s="3">
        <f t="shared" si="207"/>
        <v>-656497483.19896066</v>
      </c>
      <c r="AW90" s="3">
        <f t="shared" si="208"/>
        <v>-622976468.42773426</v>
      </c>
      <c r="AX90" s="3">
        <f t="shared" si="209"/>
        <v>-591593118.99762106</v>
      </c>
      <c r="AY90" s="3">
        <f t="shared" si="210"/>
        <v>-562422015.04016376</v>
      </c>
      <c r="AZ90" s="3">
        <f t="shared" si="211"/>
        <v>-535511350.89491624</v>
      </c>
      <c r="BA90" s="3">
        <f t="shared" si="212"/>
        <v>-510882543.68500084</v>
      </c>
      <c r="BB90" s="3">
        <f t="shared" si="213"/>
        <v>-488530168.42787611</v>
      </c>
      <c r="BC90" s="3">
        <f t="shared" si="214"/>
        <v>-468422211.70124871</v>
      </c>
      <c r="BD90" s="3">
        <f t="shared" si="215"/>
        <v>-450500632.00304079</v>
      </c>
      <c r="BE90" s="3">
        <f t="shared" si="216"/>
        <v>-434682211.61789536</v>
      </c>
      <c r="BF90" s="3">
        <f t="shared" si="217"/>
        <v>-420859682.05373013</v>
      </c>
      <c r="BG90" s="3">
        <f t="shared" si="218"/>
        <v>-408903102.93809545</v>
      </c>
      <c r="BH90" s="3">
        <f t="shared" si="219"/>
        <v>-398661472.64023799</v>
      </c>
      <c r="BI90" s="3">
        <f t="shared" si="220"/>
        <v>-389964547.76531464</v>
      </c>
      <c r="BJ90" s="3">
        <f t="shared" si="192"/>
        <v>-382624847.99020576</v>
      </c>
      <c r="BK90" s="3">
        <f t="shared" si="193"/>
        <v>-376439822.40169209</v>
      </c>
      <c r="BL90" s="3">
        <f t="shared" si="194"/>
        <v>-371194153.47570825</v>
      </c>
      <c r="BM90" s="3">
        <f t="shared" si="195"/>
        <v>-366662175.01646668</v>
      </c>
      <c r="BN90" s="3">
        <f t="shared" si="196"/>
        <v>-362610380.67383003</v>
      </c>
      <c r="BO90" s="3">
        <f t="shared" si="197"/>
        <v>-358800000</v>
      </c>
      <c r="BQ90" s="28"/>
      <c r="BR90" s="3">
        <f t="shared" si="102"/>
        <v>0.39485004616564395</v>
      </c>
      <c r="BS90" s="3">
        <f t="shared" si="103"/>
        <v>0.39485004616564395</v>
      </c>
      <c r="BT90" s="3">
        <f t="shared" si="104"/>
        <v>0.39485004616564395</v>
      </c>
      <c r="BU90" s="3">
        <f t="shared" si="105"/>
        <v>0.39485004616564395</v>
      </c>
      <c r="BV90" s="3">
        <f t="shared" si="106"/>
        <v>0.39485004616564395</v>
      </c>
      <c r="BW90" s="3">
        <f t="shared" si="107"/>
        <v>0.39485004616564395</v>
      </c>
      <c r="BX90" s="3">
        <f t="shared" si="108"/>
        <v>0.39485004616564395</v>
      </c>
      <c r="BY90" s="3">
        <f t="shared" si="109"/>
        <v>0.39485004616564395</v>
      </c>
      <c r="BZ90" s="3">
        <f t="shared" si="110"/>
        <v>0.39485004616564395</v>
      </c>
      <c r="CA90" s="3">
        <f t="shared" si="111"/>
        <v>0.39485004616564395</v>
      </c>
      <c r="CB90" s="3">
        <f t="shared" si="112"/>
        <v>0.39485004616564395</v>
      </c>
      <c r="CC90" s="3">
        <f t="shared" si="113"/>
        <v>0.39485004616564395</v>
      </c>
      <c r="CD90" s="3">
        <f t="shared" si="114"/>
        <v>0.39485004616564395</v>
      </c>
      <c r="CE90" s="3">
        <f t="shared" si="115"/>
        <v>0.39485004616564395</v>
      </c>
      <c r="CF90" s="3">
        <f t="shared" si="116"/>
        <v>0.39485004616564395</v>
      </c>
      <c r="CG90" s="3">
        <f t="shared" si="117"/>
        <v>0.39485004616564395</v>
      </c>
      <c r="CH90" s="3">
        <f t="shared" si="118"/>
        <v>0.39485004616564395</v>
      </c>
      <c r="CI90" s="3">
        <f t="shared" si="119"/>
        <v>0.39485004616564395</v>
      </c>
      <c r="CJ90" s="3">
        <f t="shared" si="120"/>
        <v>0.39485004616564395</v>
      </c>
      <c r="CK90" s="3">
        <f t="shared" si="121"/>
        <v>0.39485004616564395</v>
      </c>
      <c r="CL90" s="3">
        <f t="shared" si="122"/>
        <v>0.39485004616564395</v>
      </c>
      <c r="CM90" s="3">
        <f t="shared" si="123"/>
        <v>0.39485004616564395</v>
      </c>
      <c r="CN90" s="3">
        <f t="shared" si="124"/>
        <v>0.39485004616564395</v>
      </c>
      <c r="CO90" s="3">
        <f t="shared" si="125"/>
        <v>0.39485004616564395</v>
      </c>
      <c r="CP90" s="3">
        <f t="shared" si="126"/>
        <v>0.39485004616564395</v>
      </c>
      <c r="CQ90" s="3">
        <f t="shared" si="127"/>
        <v>0.39485004616564395</v>
      </c>
      <c r="CR90" s="3">
        <f t="shared" si="128"/>
        <v>0.39485004616564395</v>
      </c>
      <c r="CS90" s="3">
        <f t="shared" si="129"/>
        <v>0.39485004616564395</v>
      </c>
      <c r="CT90" s="3">
        <f t="shared" si="130"/>
        <v>0.39485004616564395</v>
      </c>
      <c r="CU90" s="3">
        <f t="shared" si="131"/>
        <v>0.39485004616564395</v>
      </c>
      <c r="CW90" s="28"/>
      <c r="CX90" s="3">
        <f t="shared" si="132"/>
        <v>181.54498615030681</v>
      </c>
      <c r="CY90" s="3">
        <f t="shared" si="133"/>
        <v>173.80184033580142</v>
      </c>
      <c r="CZ90" s="3">
        <f t="shared" si="134"/>
        <v>166.10123043022719</v>
      </c>
      <c r="DA90" s="3">
        <f t="shared" si="135"/>
        <v>158.4851614735197</v>
      </c>
      <c r="DB90" s="3">
        <f t="shared" si="136"/>
        <v>150.9945845137641</v>
      </c>
      <c r="DC90" s="3">
        <f t="shared" si="137"/>
        <v>143.66888881277077</v>
      </c>
      <c r="DD90" s="3">
        <f t="shared" si="138"/>
        <v>136.54541664019942</v>
      </c>
      <c r="DE90" s="3">
        <f t="shared" si="139"/>
        <v>129.65900744666615</v>
      </c>
      <c r="DF90" s="3">
        <f t="shared" si="140"/>
        <v>123.04157760465955</v>
      </c>
      <c r="DG90" s="3">
        <f t="shared" si="141"/>
        <v>116.72174119222882</v>
      </c>
      <c r="DH90" s="3">
        <f t="shared" si="142"/>
        <v>110.72447649114324</v>
      </c>
      <c r="DI90" s="3">
        <f t="shared" si="143"/>
        <v>105.07084200360464</v>
      </c>
      <c r="DJ90" s="3">
        <f t="shared" si="144"/>
        <v>99.777744885767277</v>
      </c>
      <c r="DK90" s="3">
        <f t="shared" si="145"/>
        <v>94.857763778422665</v>
      </c>
      <c r="DL90" s="3">
        <f t="shared" si="146"/>
        <v>90.319027110321102</v>
      </c>
      <c r="DM90" s="3">
        <f t="shared" si="147"/>
        <v>86.165147080757151</v>
      </c>
      <c r="DN90" s="3">
        <f t="shared" si="148"/>
        <v>82.395208715390012</v>
      </c>
      <c r="DO90" s="3">
        <f t="shared" si="149"/>
        <v>79.003812649386177</v>
      </c>
      <c r="DP90" s="3">
        <f t="shared" si="150"/>
        <v>75.981169637399191</v>
      </c>
      <c r="DQ90" s="3">
        <f t="shared" si="151"/>
        <v>73.313244228869877</v>
      </c>
      <c r="DR90" s="3">
        <f t="shared" si="152"/>
        <v>70.981944583488442</v>
      </c>
      <c r="DS90" s="3">
        <f t="shared" si="153"/>
        <v>68.965355035037177</v>
      </c>
      <c r="DT90" s="3">
        <f t="shared" si="154"/>
        <v>67.238007737953282</v>
      </c>
      <c r="DU90" s="3">
        <f t="shared" si="155"/>
        <v>65.771189542144839</v>
      </c>
      <c r="DV90" s="3">
        <f t="shared" si="156"/>
        <v>64.533280127410961</v>
      </c>
      <c r="DW90" s="3">
        <f t="shared" si="157"/>
        <v>63.490117376755052</v>
      </c>
      <c r="DX90" s="3">
        <f t="shared" si="158"/>
        <v>62.605385964160448</v>
      </c>
      <c r="DY90" s="3">
        <f t="shared" si="159"/>
        <v>61.841025162770173</v>
      </c>
      <c r="DZ90" s="3">
        <f t="shared" si="160"/>
        <v>61.157651929940499</v>
      </c>
      <c r="EA90" s="3">
        <f t="shared" si="161"/>
        <v>60.514995383435604</v>
      </c>
    </row>
    <row r="91" spans="5:131" x14ac:dyDescent="0.3">
      <c r="E91" s="27"/>
      <c r="F91" s="17">
        <v>300</v>
      </c>
      <c r="G91" s="15">
        <f t="shared" si="164"/>
        <v>287.20458331783186</v>
      </c>
      <c r="H91" s="15">
        <f t="shared" si="165"/>
        <v>274.47945650127747</v>
      </c>
      <c r="I91" s="15">
        <f t="shared" si="166"/>
        <v>261.89403216396977</v>
      </c>
      <c r="J91" s="15">
        <f t="shared" si="167"/>
        <v>249.51598121594654</v>
      </c>
      <c r="K91" s="15">
        <f t="shared" si="168"/>
        <v>237.41039374200523</v>
      </c>
      <c r="L91" s="15">
        <f t="shared" si="169"/>
        <v>225.63897720725123</v>
      </c>
      <c r="M91" s="15">
        <f t="shared" si="170"/>
        <v>214.2593032109144</v>
      </c>
      <c r="N91" s="15">
        <f t="shared" si="171"/>
        <v>203.32411301536507</v>
      </c>
      <c r="O91" s="15">
        <f t="shared" si="172"/>
        <v>192.88069089761234</v>
      </c>
      <c r="P91" s="15">
        <f t="shared" si="173"/>
        <v>182.97031304318855</v>
      </c>
      <c r="Q91" s="15">
        <f t="shared" si="174"/>
        <v>173.62777826859923</v>
      </c>
      <c r="R91" s="15">
        <f t="shared" si="175"/>
        <v>164.88102536165576</v>
      </c>
      <c r="S91" s="15">
        <f t="shared" si="176"/>
        <v>156.7508403121972</v>
      </c>
      <c r="T91" s="15">
        <f t="shared" si="177"/>
        <v>149.25065521040023</v>
      </c>
      <c r="U91" s="15">
        <f t="shared" si="178"/>
        <v>142.3864391541251</v>
      </c>
      <c r="V91" s="15">
        <f t="shared" si="179"/>
        <v>136.15668016384504</v>
      </c>
      <c r="W91" s="15">
        <f t="shared" si="180"/>
        <v>130.55245588106152</v>
      </c>
      <c r="X91" s="15">
        <f t="shared" si="181"/>
        <v>125.55758974443722</v>
      </c>
      <c r="Y91" s="15">
        <f t="shared" si="182"/>
        <v>121.14888841078465</v>
      </c>
      <c r="Z91" s="15">
        <f t="shared" si="183"/>
        <v>117.29645542188686</v>
      </c>
      <c r="AA91" s="15">
        <f t="shared" si="184"/>
        <v>113.9640755122897</v>
      </c>
      <c r="AB91" s="15">
        <f t="shared" si="185"/>
        <v>111.10966350062375</v>
      </c>
      <c r="AC91" s="15">
        <f t="shared" si="186"/>
        <v>108.68577139501524</v>
      </c>
      <c r="AD91" s="15">
        <f t="shared" si="187"/>
        <v>106.64014715446092</v>
      </c>
      <c r="AE91" s="15">
        <f t="shared" si="188"/>
        <v>104.91633846201006</v>
      </c>
      <c r="AF91" s="15">
        <f t="shared" si="189"/>
        <v>103.45433485945043</v>
      </c>
      <c r="AG91" s="15">
        <f t="shared" si="190"/>
        <v>102.19124164338534</v>
      </c>
      <c r="AH91" s="15">
        <f t="shared" si="191"/>
        <v>101.06197900608419</v>
      </c>
      <c r="AI91" s="17">
        <v>100</v>
      </c>
      <c r="AK91" s="28"/>
      <c r="AL91" s="3">
        <f t="shared" si="163"/>
        <v>-1076400000</v>
      </c>
      <c r="AM91" s="3">
        <f t="shared" si="198"/>
        <v>-1030490044.9443808</v>
      </c>
      <c r="AN91" s="3">
        <f t="shared" si="199"/>
        <v>-984832289.92658341</v>
      </c>
      <c r="AO91" s="3">
        <f t="shared" si="200"/>
        <v>-939675787.40432358</v>
      </c>
      <c r="AP91" s="3">
        <f t="shared" si="201"/>
        <v>-895263340.6028161</v>
      </c>
      <c r="AQ91" s="3">
        <f t="shared" si="202"/>
        <v>-851828492.74631464</v>
      </c>
      <c r="AR91" s="3">
        <f t="shared" si="203"/>
        <v>-809592650.21961737</v>
      </c>
      <c r="AS91" s="3">
        <f t="shared" si="204"/>
        <v>-768762379.92076075</v>
      </c>
      <c r="AT91" s="3">
        <f t="shared" si="205"/>
        <v>-729526917.49912965</v>
      </c>
      <c r="AU91" s="3">
        <f t="shared" si="206"/>
        <v>-692055918.94063294</v>
      </c>
      <c r="AV91" s="3">
        <f t="shared" si="207"/>
        <v>-656497483.19896042</v>
      </c>
      <c r="AW91" s="3">
        <f t="shared" si="208"/>
        <v>-622976468.42773402</v>
      </c>
      <c r="AX91" s="3">
        <f t="shared" si="209"/>
        <v>-591593118.99762082</v>
      </c>
      <c r="AY91" s="3">
        <f t="shared" si="210"/>
        <v>-562422015.04016352</v>
      </c>
      <c r="AZ91" s="3">
        <f t="shared" si="211"/>
        <v>-535511350.894916</v>
      </c>
      <c r="BA91" s="3">
        <f t="shared" si="212"/>
        <v>-510882543.68500078</v>
      </c>
      <c r="BB91" s="3">
        <f t="shared" si="213"/>
        <v>-488530168.427876</v>
      </c>
      <c r="BC91" s="3">
        <f t="shared" si="214"/>
        <v>-468422211.70124865</v>
      </c>
      <c r="BD91" s="3">
        <f t="shared" si="215"/>
        <v>-450500632.00304073</v>
      </c>
      <c r="BE91" s="3">
        <f t="shared" si="216"/>
        <v>-434682211.61789531</v>
      </c>
      <c r="BF91" s="3">
        <f t="shared" si="217"/>
        <v>-420859682.05373007</v>
      </c>
      <c r="BG91" s="3">
        <f t="shared" si="218"/>
        <v>-408903102.93809539</v>
      </c>
      <c r="BH91" s="3">
        <f t="shared" si="219"/>
        <v>-398661472.64023799</v>
      </c>
      <c r="BI91" s="3">
        <f t="shared" si="220"/>
        <v>-389964547.76531464</v>
      </c>
      <c r="BJ91" s="3">
        <f t="shared" si="192"/>
        <v>-382624847.99020571</v>
      </c>
      <c r="BK91" s="3">
        <f t="shared" si="193"/>
        <v>-376439822.40169197</v>
      </c>
      <c r="BL91" s="3">
        <f t="shared" si="194"/>
        <v>-371194153.47570813</v>
      </c>
      <c r="BM91" s="3">
        <f t="shared" si="195"/>
        <v>-366662175.01646656</v>
      </c>
      <c r="BN91" s="3">
        <f t="shared" si="196"/>
        <v>-362610380.67383003</v>
      </c>
      <c r="BO91" s="3">
        <f t="shared" si="197"/>
        <v>-358800000</v>
      </c>
      <c r="BQ91" s="28"/>
      <c r="BR91" s="3">
        <f t="shared" si="102"/>
        <v>0.39486027770820464</v>
      </c>
      <c r="BS91" s="3">
        <f t="shared" si="103"/>
        <v>0.39486027770820464</v>
      </c>
      <c r="BT91" s="3">
        <f t="shared" si="104"/>
        <v>0.39486027770820464</v>
      </c>
      <c r="BU91" s="3">
        <f t="shared" si="105"/>
        <v>0.39486027770820464</v>
      </c>
      <c r="BV91" s="3">
        <f t="shared" si="106"/>
        <v>0.39486027770820464</v>
      </c>
      <c r="BW91" s="3">
        <f t="shared" si="107"/>
        <v>0.39486027770820464</v>
      </c>
      <c r="BX91" s="3">
        <f t="shared" si="108"/>
        <v>0.39486027770820464</v>
      </c>
      <c r="BY91" s="3">
        <f t="shared" si="109"/>
        <v>0.39486027770820464</v>
      </c>
      <c r="BZ91" s="3">
        <f t="shared" si="110"/>
        <v>0.39486027770820464</v>
      </c>
      <c r="CA91" s="3">
        <f t="shared" si="111"/>
        <v>0.39486027770820464</v>
      </c>
      <c r="CB91" s="3">
        <f t="shared" si="112"/>
        <v>0.39486027770820464</v>
      </c>
      <c r="CC91" s="3">
        <f t="shared" si="113"/>
        <v>0.39486027770820464</v>
      </c>
      <c r="CD91" s="3">
        <f t="shared" si="114"/>
        <v>0.39486027770820464</v>
      </c>
      <c r="CE91" s="3">
        <f t="shared" si="115"/>
        <v>0.39486027770820464</v>
      </c>
      <c r="CF91" s="3">
        <f t="shared" si="116"/>
        <v>0.39486027770820464</v>
      </c>
      <c r="CG91" s="3">
        <f t="shared" si="117"/>
        <v>0.39486027770820464</v>
      </c>
      <c r="CH91" s="3">
        <f t="shared" si="118"/>
        <v>0.39486027770820464</v>
      </c>
      <c r="CI91" s="3">
        <f t="shared" si="119"/>
        <v>0.39486027770820464</v>
      </c>
      <c r="CJ91" s="3">
        <f t="shared" si="120"/>
        <v>0.39486027770820464</v>
      </c>
      <c r="CK91" s="3">
        <f t="shared" si="121"/>
        <v>0.39486027770820464</v>
      </c>
      <c r="CL91" s="3">
        <f t="shared" si="122"/>
        <v>0.39486027770820464</v>
      </c>
      <c r="CM91" s="3">
        <f t="shared" si="123"/>
        <v>0.39486027770820464</v>
      </c>
      <c r="CN91" s="3">
        <f t="shared" si="124"/>
        <v>0.39486027770820464</v>
      </c>
      <c r="CO91" s="3">
        <f t="shared" si="125"/>
        <v>0.39486027770820464</v>
      </c>
      <c r="CP91" s="3">
        <f t="shared" si="126"/>
        <v>0.39486027770820464</v>
      </c>
      <c r="CQ91" s="3">
        <f t="shared" si="127"/>
        <v>0.39486027770820464</v>
      </c>
      <c r="CR91" s="3">
        <f t="shared" si="128"/>
        <v>0.39486027770820464</v>
      </c>
      <c r="CS91" s="3">
        <f t="shared" si="129"/>
        <v>0.39486027770820464</v>
      </c>
      <c r="CT91" s="3">
        <f t="shared" si="130"/>
        <v>0.39486027770820464</v>
      </c>
      <c r="CU91" s="3">
        <f t="shared" si="131"/>
        <v>0.39486027770820464</v>
      </c>
      <c r="CW91" s="28"/>
      <c r="CX91" s="3">
        <f t="shared" si="132"/>
        <v>181.54191668753859</v>
      </c>
      <c r="CY91" s="3">
        <f t="shared" si="133"/>
        <v>173.79890178988359</v>
      </c>
      <c r="CZ91" s="3">
        <f t="shared" si="134"/>
        <v>166.09842208198594</v>
      </c>
      <c r="DA91" s="3">
        <f t="shared" si="135"/>
        <v>158.48248189358318</v>
      </c>
      <c r="DB91" s="3">
        <f t="shared" si="136"/>
        <v>150.9920315803827</v>
      </c>
      <c r="DC91" s="3">
        <f t="shared" si="137"/>
        <v>143.66645973822281</v>
      </c>
      <c r="DD91" s="3">
        <f t="shared" si="138"/>
        <v>136.54310800540074</v>
      </c>
      <c r="DE91" s="3">
        <f t="shared" si="139"/>
        <v>129.65681524348628</v>
      </c>
      <c r="DF91" s="3">
        <f t="shared" si="140"/>
        <v>123.03949728534361</v>
      </c>
      <c r="DG91" s="3">
        <f t="shared" si="141"/>
        <v>116.71976772523072</v>
      </c>
      <c r="DH91" s="3">
        <f t="shared" si="142"/>
        <v>110.72260442259797</v>
      </c>
      <c r="DI91" s="3">
        <f t="shared" si="143"/>
        <v>105.06906552360155</v>
      </c>
      <c r="DJ91" s="3">
        <f t="shared" si="144"/>
        <v>99.776057898538809</v>
      </c>
      <c r="DK91" s="3">
        <f t="shared" si="145"/>
        <v>94.856159975528556</v>
      </c>
      <c r="DL91" s="3">
        <f t="shared" si="146"/>
        <v>90.317500045890071</v>
      </c>
      <c r="DM91" s="3">
        <f t="shared" si="147"/>
        <v>86.163690247844869</v>
      </c>
      <c r="DN91" s="3">
        <f t="shared" si="148"/>
        <v>82.393815622521984</v>
      </c>
      <c r="DO91" s="3">
        <f t="shared" si="149"/>
        <v>79.002476896377416</v>
      </c>
      <c r="DP91" s="3">
        <f t="shared" si="150"/>
        <v>75.979884989575908</v>
      </c>
      <c r="DQ91" s="3">
        <f t="shared" si="151"/>
        <v>73.312004688861933</v>
      </c>
      <c r="DR91" s="3">
        <f t="shared" si="152"/>
        <v>70.980744459812556</v>
      </c>
      <c r="DS91" s="3">
        <f t="shared" si="153"/>
        <v>68.964189006748171</v>
      </c>
      <c r="DT91" s="3">
        <f t="shared" si="154"/>
        <v>67.23687091470228</v>
      </c>
      <c r="DU91" s="3">
        <f t="shared" si="155"/>
        <v>65.770077519049067</v>
      </c>
      <c r="DV91" s="3">
        <f t="shared" si="156"/>
        <v>64.532189034206667</v>
      </c>
      <c r="DW91" s="3">
        <f t="shared" si="157"/>
        <v>63.489043920772765</v>
      </c>
      <c r="DX91" s="3">
        <f t="shared" si="158"/>
        <v>62.604327466730233</v>
      </c>
      <c r="DY91" s="3">
        <f t="shared" si="159"/>
        <v>61.839979588731943</v>
      </c>
      <c r="DZ91" s="3">
        <f t="shared" si="160"/>
        <v>61.156617910001032</v>
      </c>
      <c r="EA91" s="3">
        <f t="shared" si="161"/>
        <v>60.513972229179537</v>
      </c>
    </row>
    <row r="92" spans="5:131" x14ac:dyDescent="0.3">
      <c r="E92" s="27"/>
      <c r="F92" s="17">
        <v>300</v>
      </c>
      <c r="G92" s="15">
        <f t="shared" si="164"/>
        <v>287.20458331783186</v>
      </c>
      <c r="H92" s="15">
        <f t="shared" si="165"/>
        <v>274.47945650127747</v>
      </c>
      <c r="I92" s="15">
        <f t="shared" si="166"/>
        <v>261.89403216396977</v>
      </c>
      <c r="J92" s="15">
        <f t="shared" si="167"/>
        <v>249.51598121594657</v>
      </c>
      <c r="K92" s="15">
        <f t="shared" si="168"/>
        <v>237.41039374200523</v>
      </c>
      <c r="L92" s="15">
        <f t="shared" si="169"/>
        <v>225.63897720725126</v>
      </c>
      <c r="M92" s="15">
        <f t="shared" si="170"/>
        <v>214.25930321091442</v>
      </c>
      <c r="N92" s="15">
        <f t="shared" si="171"/>
        <v>203.32411301536507</v>
      </c>
      <c r="O92" s="15">
        <f t="shared" si="172"/>
        <v>192.88069089761234</v>
      </c>
      <c r="P92" s="15">
        <f t="shared" si="173"/>
        <v>182.97031304318853</v>
      </c>
      <c r="Q92" s="15">
        <f t="shared" si="174"/>
        <v>173.62777826859926</v>
      </c>
      <c r="R92" s="15">
        <f t="shared" si="175"/>
        <v>164.88102536165576</v>
      </c>
      <c r="S92" s="15">
        <f t="shared" si="176"/>
        <v>156.7508403121972</v>
      </c>
      <c r="T92" s="15">
        <f t="shared" si="177"/>
        <v>149.25065521040023</v>
      </c>
      <c r="U92" s="15">
        <f t="shared" si="178"/>
        <v>142.3864391541251</v>
      </c>
      <c r="V92" s="15">
        <f t="shared" si="179"/>
        <v>136.15668016384507</v>
      </c>
      <c r="W92" s="15">
        <f t="shared" si="180"/>
        <v>130.55245588106152</v>
      </c>
      <c r="X92" s="15">
        <f t="shared" si="181"/>
        <v>125.55758974443725</v>
      </c>
      <c r="Y92" s="15">
        <f t="shared" si="182"/>
        <v>121.14888841078468</v>
      </c>
      <c r="Z92" s="15">
        <f t="shared" si="183"/>
        <v>117.29645542188689</v>
      </c>
      <c r="AA92" s="15">
        <f t="shared" si="184"/>
        <v>113.9640755122897</v>
      </c>
      <c r="AB92" s="15">
        <f t="shared" si="185"/>
        <v>111.10966350062375</v>
      </c>
      <c r="AC92" s="15">
        <f t="shared" si="186"/>
        <v>108.68577139501524</v>
      </c>
      <c r="AD92" s="15">
        <f t="shared" si="187"/>
        <v>106.64014715446092</v>
      </c>
      <c r="AE92" s="15">
        <f t="shared" si="188"/>
        <v>104.91633846201006</v>
      </c>
      <c r="AF92" s="15">
        <f t="shared" si="189"/>
        <v>103.45433485945044</v>
      </c>
      <c r="AG92" s="15">
        <f t="shared" si="190"/>
        <v>102.19124164338534</v>
      </c>
      <c r="AH92" s="15">
        <f t="shared" si="191"/>
        <v>101.06197900608419</v>
      </c>
      <c r="AI92" s="17">
        <v>100</v>
      </c>
      <c r="AK92" s="28"/>
      <c r="AL92" s="3">
        <f t="shared" si="163"/>
        <v>-1076400000</v>
      </c>
      <c r="AM92" s="3">
        <f t="shared" si="198"/>
        <v>-1030490044.9443809</v>
      </c>
      <c r="AN92" s="3">
        <f t="shared" si="199"/>
        <v>-984832289.92658353</v>
      </c>
      <c r="AO92" s="3">
        <f t="shared" si="200"/>
        <v>-939675787.40432358</v>
      </c>
      <c r="AP92" s="3">
        <f t="shared" si="201"/>
        <v>-895263340.6028161</v>
      </c>
      <c r="AQ92" s="3">
        <f t="shared" si="202"/>
        <v>-851828492.74631476</v>
      </c>
      <c r="AR92" s="3">
        <f t="shared" si="203"/>
        <v>-809592650.21961737</v>
      </c>
      <c r="AS92" s="3">
        <f t="shared" si="204"/>
        <v>-768762379.92076075</v>
      </c>
      <c r="AT92" s="3">
        <f t="shared" si="205"/>
        <v>-729526917.49912965</v>
      </c>
      <c r="AU92" s="3">
        <f t="shared" si="206"/>
        <v>-692055918.94063294</v>
      </c>
      <c r="AV92" s="3">
        <f t="shared" si="207"/>
        <v>-656497483.19896042</v>
      </c>
      <c r="AW92" s="3">
        <f t="shared" si="208"/>
        <v>-622976468.42773402</v>
      </c>
      <c r="AX92" s="3">
        <f t="shared" si="209"/>
        <v>-591593118.99762082</v>
      </c>
      <c r="AY92" s="3">
        <f t="shared" si="210"/>
        <v>-562422015.04016352</v>
      </c>
      <c r="AZ92" s="3">
        <f t="shared" si="211"/>
        <v>-535511350.894916</v>
      </c>
      <c r="BA92" s="3">
        <f t="shared" si="212"/>
        <v>-510882543.68500078</v>
      </c>
      <c r="BB92" s="3">
        <f t="shared" si="213"/>
        <v>-488530168.42787611</v>
      </c>
      <c r="BC92" s="3">
        <f t="shared" si="214"/>
        <v>-468422211.70124871</v>
      </c>
      <c r="BD92" s="3">
        <f t="shared" si="215"/>
        <v>-450500632.00304085</v>
      </c>
      <c r="BE92" s="3">
        <f t="shared" si="216"/>
        <v>-434682211.61789542</v>
      </c>
      <c r="BF92" s="3">
        <f t="shared" si="217"/>
        <v>-420859682.05373013</v>
      </c>
      <c r="BG92" s="3">
        <f t="shared" si="218"/>
        <v>-408903102.93809545</v>
      </c>
      <c r="BH92" s="3">
        <f t="shared" si="219"/>
        <v>-398661472.64023799</v>
      </c>
      <c r="BI92" s="3">
        <f t="shared" si="220"/>
        <v>-389964547.76531464</v>
      </c>
      <c r="BJ92" s="3">
        <f t="shared" si="192"/>
        <v>-382624847.99020576</v>
      </c>
      <c r="BK92" s="3">
        <f t="shared" si="193"/>
        <v>-376439822.40169209</v>
      </c>
      <c r="BL92" s="3">
        <f t="shared" si="194"/>
        <v>-371194153.47570813</v>
      </c>
      <c r="BM92" s="3">
        <f t="shared" si="195"/>
        <v>-366662175.01646656</v>
      </c>
      <c r="BN92" s="3">
        <f t="shared" si="196"/>
        <v>-362610380.67383003</v>
      </c>
      <c r="BO92" s="3">
        <f t="shared" si="197"/>
        <v>-358800000</v>
      </c>
      <c r="BQ92" s="28"/>
      <c r="BR92" s="3">
        <f t="shared" si="102"/>
        <v>0.39492590212780204</v>
      </c>
      <c r="BS92" s="3">
        <f t="shared" si="103"/>
        <v>0.39492590212780204</v>
      </c>
      <c r="BT92" s="3">
        <f t="shared" si="104"/>
        <v>0.39492590212780204</v>
      </c>
      <c r="BU92" s="3">
        <f t="shared" si="105"/>
        <v>0.39492590212780204</v>
      </c>
      <c r="BV92" s="3">
        <f t="shared" si="106"/>
        <v>0.39492590212780204</v>
      </c>
      <c r="BW92" s="3">
        <f t="shared" si="107"/>
        <v>0.39492590212780204</v>
      </c>
      <c r="BX92" s="3">
        <f t="shared" si="108"/>
        <v>0.39492590212780204</v>
      </c>
      <c r="BY92" s="3">
        <f t="shared" si="109"/>
        <v>0.39492590212780204</v>
      </c>
      <c r="BZ92" s="3">
        <f t="shared" si="110"/>
        <v>0.39492590212780204</v>
      </c>
      <c r="CA92" s="3">
        <f t="shared" si="111"/>
        <v>0.39492590212780204</v>
      </c>
      <c r="CB92" s="3">
        <f t="shared" si="112"/>
        <v>0.39492590212780204</v>
      </c>
      <c r="CC92" s="3">
        <f t="shared" si="113"/>
        <v>0.39492590212780204</v>
      </c>
      <c r="CD92" s="3">
        <f t="shared" si="114"/>
        <v>0.39492590212780204</v>
      </c>
      <c r="CE92" s="3">
        <f t="shared" si="115"/>
        <v>0.39492590212780204</v>
      </c>
      <c r="CF92" s="3">
        <f t="shared" si="116"/>
        <v>0.39492590212780204</v>
      </c>
      <c r="CG92" s="3">
        <f t="shared" si="117"/>
        <v>0.39492590212780204</v>
      </c>
      <c r="CH92" s="3">
        <f t="shared" si="118"/>
        <v>0.39492590212780204</v>
      </c>
      <c r="CI92" s="3">
        <f t="shared" si="119"/>
        <v>0.39492590212780204</v>
      </c>
      <c r="CJ92" s="3">
        <f t="shared" si="120"/>
        <v>0.39492590212780204</v>
      </c>
      <c r="CK92" s="3">
        <f t="shared" si="121"/>
        <v>0.39492590212780204</v>
      </c>
      <c r="CL92" s="3">
        <f t="shared" si="122"/>
        <v>0.39492590212780204</v>
      </c>
      <c r="CM92" s="3">
        <f t="shared" si="123"/>
        <v>0.39492590212780204</v>
      </c>
      <c r="CN92" s="3">
        <f t="shared" si="124"/>
        <v>0.39492590212780204</v>
      </c>
      <c r="CO92" s="3">
        <f t="shared" si="125"/>
        <v>0.39492590212780204</v>
      </c>
      <c r="CP92" s="3">
        <f t="shared" si="126"/>
        <v>0.39492590212780204</v>
      </c>
      <c r="CQ92" s="3">
        <f t="shared" si="127"/>
        <v>0.39492590212780204</v>
      </c>
      <c r="CR92" s="3">
        <f t="shared" si="128"/>
        <v>0.39492590212780204</v>
      </c>
      <c r="CS92" s="3">
        <f t="shared" si="129"/>
        <v>0.39492590212780204</v>
      </c>
      <c r="CT92" s="3">
        <f t="shared" si="130"/>
        <v>0.39492590212780204</v>
      </c>
      <c r="CU92" s="3">
        <f t="shared" si="131"/>
        <v>0.39492590212780204</v>
      </c>
      <c r="CW92" s="28"/>
      <c r="CX92" s="3">
        <f t="shared" si="132"/>
        <v>181.52222936165941</v>
      </c>
      <c r="CY92" s="3">
        <f t="shared" si="133"/>
        <v>173.78005415579764</v>
      </c>
      <c r="CZ92" s="3">
        <f t="shared" si="134"/>
        <v>166.08040952696166</v>
      </c>
      <c r="DA92" s="3">
        <f t="shared" si="135"/>
        <v>158.46529524972644</v>
      </c>
      <c r="DB92" s="3">
        <f t="shared" si="136"/>
        <v>150.97565723893516</v>
      </c>
      <c r="DC92" s="3">
        <f t="shared" si="137"/>
        <v>143.65087981892714</v>
      </c>
      <c r="DD92" s="3">
        <f t="shared" si="138"/>
        <v>136.528300578483</v>
      </c>
      <c r="DE92" s="3">
        <f t="shared" si="139"/>
        <v>129.64275460106978</v>
      </c>
      <c r="DF92" s="3">
        <f t="shared" si="140"/>
        <v>123.02615425843685</v>
      </c>
      <c r="DG92" s="3">
        <f t="shared" si="141"/>
        <v>116.70711004183906</v>
      </c>
      <c r="DH92" s="3">
        <f t="shared" si="142"/>
        <v>110.71059710200096</v>
      </c>
      <c r="DI92" s="3">
        <f t="shared" si="143"/>
        <v>105.05767130142672</v>
      </c>
      <c r="DJ92" s="3">
        <f t="shared" si="144"/>
        <v>99.765237676946867</v>
      </c>
      <c r="DK92" s="3">
        <f t="shared" si="145"/>
        <v>94.845873292611685</v>
      </c>
      <c r="DL92" s="3">
        <f t="shared" si="146"/>
        <v>90.307705558267386</v>
      </c>
      <c r="DM92" s="3">
        <f t="shared" si="147"/>
        <v>86.154346220416855</v>
      </c>
      <c r="DN92" s="3">
        <f t="shared" si="148"/>
        <v>82.384880419411957</v>
      </c>
      <c r="DO92" s="3">
        <f t="shared" si="149"/>
        <v>78.993909467233237</v>
      </c>
      <c r="DP92" s="3">
        <f t="shared" si="150"/>
        <v>75.971645345622917</v>
      </c>
      <c r="DQ92" s="3">
        <f t="shared" si="151"/>
        <v>73.30405436337513</v>
      </c>
      <c r="DR92" s="3">
        <f t="shared" si="152"/>
        <v>70.973046948004693</v>
      </c>
      <c r="DS92" s="3">
        <f t="shared" si="153"/>
        <v>68.956710180437739</v>
      </c>
      <c r="DT92" s="3">
        <f t="shared" si="154"/>
        <v>67.229579407523403</v>
      </c>
      <c r="DU92" s="3">
        <f t="shared" si="155"/>
        <v>65.762945078382785</v>
      </c>
      <c r="DV92" s="3">
        <f t="shared" si="156"/>
        <v>64.525190836443883</v>
      </c>
      <c r="DW92" s="3">
        <f t="shared" si="157"/>
        <v>63.482158846954924</v>
      </c>
      <c r="DX92" s="3">
        <f t="shared" si="158"/>
        <v>62.597538336050263</v>
      </c>
      <c r="DY92" s="3">
        <f t="shared" si="159"/>
        <v>61.833273347811172</v>
      </c>
      <c r="DZ92" s="3">
        <f t="shared" si="160"/>
        <v>61.149985776285398</v>
      </c>
      <c r="EA92" s="3">
        <f t="shared" si="161"/>
        <v>60.507409787219807</v>
      </c>
    </row>
    <row r="93" spans="5:131" x14ac:dyDescent="0.3">
      <c r="E93" s="27"/>
      <c r="F93" s="17">
        <v>300</v>
      </c>
      <c r="G93" s="15">
        <f t="shared" si="164"/>
        <v>287.20458331783186</v>
      </c>
      <c r="H93" s="15">
        <f t="shared" si="165"/>
        <v>274.47945650127747</v>
      </c>
      <c r="I93" s="15">
        <f t="shared" si="166"/>
        <v>261.89403216396977</v>
      </c>
      <c r="J93" s="15">
        <f t="shared" si="167"/>
        <v>249.51598121594657</v>
      </c>
      <c r="K93" s="15">
        <f t="shared" si="168"/>
        <v>237.41039374200528</v>
      </c>
      <c r="L93" s="15">
        <f t="shared" si="169"/>
        <v>225.63897720725129</v>
      </c>
      <c r="M93" s="15">
        <f t="shared" si="170"/>
        <v>214.25930321091442</v>
      </c>
      <c r="N93" s="15">
        <f t="shared" si="171"/>
        <v>203.3241130153651</v>
      </c>
      <c r="O93" s="15">
        <f t="shared" si="172"/>
        <v>192.8806908976124</v>
      </c>
      <c r="P93" s="15">
        <f t="shared" si="173"/>
        <v>182.97031304318855</v>
      </c>
      <c r="Q93" s="15">
        <f t="shared" si="174"/>
        <v>173.62777826859929</v>
      </c>
      <c r="R93" s="15">
        <f t="shared" si="175"/>
        <v>164.88102536165582</v>
      </c>
      <c r="S93" s="15">
        <f t="shared" si="176"/>
        <v>156.75084031219723</v>
      </c>
      <c r="T93" s="15">
        <f t="shared" si="177"/>
        <v>149.25065521040028</v>
      </c>
      <c r="U93" s="15">
        <f t="shared" si="178"/>
        <v>142.3864391541251</v>
      </c>
      <c r="V93" s="15">
        <f t="shared" si="179"/>
        <v>136.15668016384507</v>
      </c>
      <c r="W93" s="15">
        <f t="shared" si="180"/>
        <v>130.55245588106155</v>
      </c>
      <c r="X93" s="15">
        <f t="shared" si="181"/>
        <v>125.55758974443727</v>
      </c>
      <c r="Y93" s="15">
        <f t="shared" si="182"/>
        <v>121.14888841078469</v>
      </c>
      <c r="Z93" s="15">
        <f t="shared" si="183"/>
        <v>117.29645542188689</v>
      </c>
      <c r="AA93" s="15">
        <f t="shared" si="184"/>
        <v>113.9640755122897</v>
      </c>
      <c r="AB93" s="15">
        <f t="shared" si="185"/>
        <v>111.10966350062377</v>
      </c>
      <c r="AC93" s="15">
        <f t="shared" si="186"/>
        <v>108.68577139501525</v>
      </c>
      <c r="AD93" s="15">
        <f t="shared" si="187"/>
        <v>106.64014715446092</v>
      </c>
      <c r="AE93" s="15">
        <f t="shared" si="188"/>
        <v>104.91633846201006</v>
      </c>
      <c r="AF93" s="15">
        <f t="shared" si="189"/>
        <v>103.45433485945046</v>
      </c>
      <c r="AG93" s="15">
        <f t="shared" si="190"/>
        <v>102.19124164338535</v>
      </c>
      <c r="AH93" s="15">
        <f t="shared" si="191"/>
        <v>101.06197900608419</v>
      </c>
      <c r="AI93" s="17">
        <v>100</v>
      </c>
      <c r="AK93" s="28"/>
      <c r="AL93" s="3">
        <f t="shared" si="163"/>
        <v>-1076400000</v>
      </c>
      <c r="AM93" s="3">
        <f t="shared" si="198"/>
        <v>-1030490044.9443809</v>
      </c>
      <c r="AN93" s="3">
        <f t="shared" si="199"/>
        <v>-984832289.92658353</v>
      </c>
      <c r="AO93" s="3">
        <f t="shared" si="200"/>
        <v>-939675787.4043237</v>
      </c>
      <c r="AP93" s="3">
        <f t="shared" si="201"/>
        <v>-895263340.60281622</v>
      </c>
      <c r="AQ93" s="3">
        <f t="shared" si="202"/>
        <v>-851828492.746315</v>
      </c>
      <c r="AR93" s="3">
        <f t="shared" si="203"/>
        <v>-809592650.21961784</v>
      </c>
      <c r="AS93" s="3">
        <f t="shared" si="204"/>
        <v>-768762379.92076111</v>
      </c>
      <c r="AT93" s="3">
        <f t="shared" si="205"/>
        <v>-729526917.49912989</v>
      </c>
      <c r="AU93" s="3">
        <f t="shared" si="206"/>
        <v>-692055918.9406333</v>
      </c>
      <c r="AV93" s="3">
        <f t="shared" si="207"/>
        <v>-656497483.19896066</v>
      </c>
      <c r="AW93" s="3">
        <f t="shared" si="208"/>
        <v>-622976468.42773426</v>
      </c>
      <c r="AX93" s="3">
        <f t="shared" si="209"/>
        <v>-591593118.99762106</v>
      </c>
      <c r="AY93" s="3">
        <f t="shared" si="210"/>
        <v>-562422015.04016376</v>
      </c>
      <c r="AZ93" s="3">
        <f t="shared" si="211"/>
        <v>-535511350.89491624</v>
      </c>
      <c r="BA93" s="3">
        <f t="shared" si="212"/>
        <v>-510882543.68500084</v>
      </c>
      <c r="BB93" s="3">
        <f t="shared" si="213"/>
        <v>-488530168.42787611</v>
      </c>
      <c r="BC93" s="3">
        <f t="shared" si="214"/>
        <v>-468422211.70124882</v>
      </c>
      <c r="BD93" s="3">
        <f t="shared" si="215"/>
        <v>-450500632.00304097</v>
      </c>
      <c r="BE93" s="3">
        <f t="shared" si="216"/>
        <v>-434682211.61789548</v>
      </c>
      <c r="BF93" s="3">
        <f t="shared" si="217"/>
        <v>-420859682.05373013</v>
      </c>
      <c r="BG93" s="3">
        <f t="shared" si="218"/>
        <v>-408903102.93809545</v>
      </c>
      <c r="BH93" s="3">
        <f t="shared" si="219"/>
        <v>-398661472.64023799</v>
      </c>
      <c r="BI93" s="3">
        <f t="shared" si="220"/>
        <v>-389964547.76531464</v>
      </c>
      <c r="BJ93" s="3">
        <f t="shared" si="192"/>
        <v>-382624847.99020576</v>
      </c>
      <c r="BK93" s="3">
        <f t="shared" si="193"/>
        <v>-376439822.40169209</v>
      </c>
      <c r="BL93" s="3">
        <f t="shared" si="194"/>
        <v>-371194153.47570825</v>
      </c>
      <c r="BM93" s="3">
        <f t="shared" si="195"/>
        <v>-366662175.01646668</v>
      </c>
      <c r="BN93" s="3">
        <f t="shared" si="196"/>
        <v>-362610380.67383003</v>
      </c>
      <c r="BO93" s="3">
        <f t="shared" si="197"/>
        <v>-358800000</v>
      </c>
      <c r="BQ93" s="28"/>
      <c r="BR93" s="3">
        <f t="shared" si="102"/>
        <v>0.39534673185434266</v>
      </c>
      <c r="BS93" s="3">
        <f t="shared" si="103"/>
        <v>0.39534673185434266</v>
      </c>
      <c r="BT93" s="3">
        <f t="shared" si="104"/>
        <v>0.39534673185434266</v>
      </c>
      <c r="BU93" s="3">
        <f t="shared" si="105"/>
        <v>0.39534673185434266</v>
      </c>
      <c r="BV93" s="3">
        <f t="shared" si="106"/>
        <v>0.39534673185434266</v>
      </c>
      <c r="BW93" s="3">
        <f t="shared" si="107"/>
        <v>0.39534673185434266</v>
      </c>
      <c r="BX93" s="3">
        <f t="shared" si="108"/>
        <v>0.39534673185434266</v>
      </c>
      <c r="BY93" s="3">
        <f t="shared" si="109"/>
        <v>0.39534673185434266</v>
      </c>
      <c r="BZ93" s="3">
        <f t="shared" si="110"/>
        <v>0.39534673185434266</v>
      </c>
      <c r="CA93" s="3">
        <f t="shared" si="111"/>
        <v>0.39534673185434266</v>
      </c>
      <c r="CB93" s="3">
        <f t="shared" si="112"/>
        <v>0.39534673185434266</v>
      </c>
      <c r="CC93" s="3">
        <f t="shared" si="113"/>
        <v>0.39534673185434266</v>
      </c>
      <c r="CD93" s="3">
        <f t="shared" si="114"/>
        <v>0.39534673185434266</v>
      </c>
      <c r="CE93" s="3">
        <f t="shared" si="115"/>
        <v>0.39534673185434266</v>
      </c>
      <c r="CF93" s="3">
        <f t="shared" si="116"/>
        <v>0.39534673185434266</v>
      </c>
      <c r="CG93" s="3">
        <f t="shared" si="117"/>
        <v>0.39534673185434266</v>
      </c>
      <c r="CH93" s="3">
        <f t="shared" si="118"/>
        <v>0.39534673185434266</v>
      </c>
      <c r="CI93" s="3">
        <f t="shared" si="119"/>
        <v>0.39534673185434266</v>
      </c>
      <c r="CJ93" s="3">
        <f t="shared" si="120"/>
        <v>0.39534673185434266</v>
      </c>
      <c r="CK93" s="3">
        <f t="shared" si="121"/>
        <v>0.39534673185434266</v>
      </c>
      <c r="CL93" s="3">
        <f t="shared" si="122"/>
        <v>0.39534673185434266</v>
      </c>
      <c r="CM93" s="3">
        <f t="shared" si="123"/>
        <v>0.39534673185434266</v>
      </c>
      <c r="CN93" s="3">
        <f t="shared" si="124"/>
        <v>0.39534673185434266</v>
      </c>
      <c r="CO93" s="3">
        <f t="shared" si="125"/>
        <v>0.39534673185434266</v>
      </c>
      <c r="CP93" s="3">
        <f t="shared" si="126"/>
        <v>0.39534673185434266</v>
      </c>
      <c r="CQ93" s="3">
        <f t="shared" si="127"/>
        <v>0.39534673185434266</v>
      </c>
      <c r="CR93" s="3">
        <f t="shared" si="128"/>
        <v>0.39534673185434266</v>
      </c>
      <c r="CS93" s="3">
        <f t="shared" si="129"/>
        <v>0.39534673185434266</v>
      </c>
      <c r="CT93" s="3">
        <f t="shared" si="130"/>
        <v>0.39534673185434266</v>
      </c>
      <c r="CU93" s="3">
        <f t="shared" si="131"/>
        <v>0.39534673185434266</v>
      </c>
      <c r="CW93" s="28"/>
      <c r="CX93" s="3">
        <f t="shared" si="132"/>
        <v>181.39598044369723</v>
      </c>
      <c r="CY93" s="3">
        <f t="shared" si="133"/>
        <v>173.6591899295388</v>
      </c>
      <c r="CZ93" s="3">
        <f t="shared" si="134"/>
        <v>165.96490041234119</v>
      </c>
      <c r="DA93" s="3">
        <f t="shared" si="135"/>
        <v>158.35508245578825</v>
      </c>
      <c r="DB93" s="3">
        <f t="shared" si="136"/>
        <v>150.87065349679253</v>
      </c>
      <c r="DC93" s="3">
        <f t="shared" si="137"/>
        <v>143.55097046785082</v>
      </c>
      <c r="DD93" s="3">
        <f t="shared" si="138"/>
        <v>136.433344989408</v>
      </c>
      <c r="DE93" s="3">
        <f t="shared" si="139"/>
        <v>129.55258791709076</v>
      </c>
      <c r="DF93" s="3">
        <f t="shared" si="140"/>
        <v>122.9405894275575</v>
      </c>
      <c r="DG93" s="3">
        <f t="shared" si="141"/>
        <v>116.6259401134337</v>
      </c>
      <c r="DH93" s="3">
        <f t="shared" si="142"/>
        <v>110.63359775519797</v>
      </c>
      <c r="DI93" s="3">
        <f t="shared" si="143"/>
        <v>104.98460357097811</v>
      </c>
      <c r="DJ93" s="3">
        <f t="shared" si="144"/>
        <v>99.695850840132209</v>
      </c>
      <c r="DK93" s="3">
        <f t="shared" si="145"/>
        <v>94.779907879348116</v>
      </c>
      <c r="DL93" s="3">
        <f t="shared" si="146"/>
        <v>90.244896445849221</v>
      </c>
      <c r="DM93" s="3">
        <f t="shared" si="147"/>
        <v>86.094425774164534</v>
      </c>
      <c r="DN93" s="3">
        <f t="shared" si="148"/>
        <v>82.327581640931925</v>
      </c>
      <c r="DO93" s="3">
        <f t="shared" si="149"/>
        <v>78.938969112925619</v>
      </c>
      <c r="DP93" s="3">
        <f t="shared" si="150"/>
        <v>75.918806979465671</v>
      </c>
      <c r="DQ93" s="3">
        <f t="shared" si="151"/>
        <v>73.253071309794521</v>
      </c>
      <c r="DR93" s="3">
        <f t="shared" si="152"/>
        <v>70.923685112745318</v>
      </c>
      <c r="DS93" s="3">
        <f t="shared" si="153"/>
        <v>68.908750709704449</v>
      </c>
      <c r="DT93" s="3">
        <f t="shared" si="154"/>
        <v>67.182821158216427</v>
      </c>
      <c r="DU93" s="3">
        <f t="shared" si="155"/>
        <v>65.717206874927768</v>
      </c>
      <c r="DV93" s="3">
        <f t="shared" si="156"/>
        <v>64.480313492478615</v>
      </c>
      <c r="DW93" s="3">
        <f t="shared" si="157"/>
        <v>63.438006932930321</v>
      </c>
      <c r="DX93" s="3">
        <f t="shared" si="158"/>
        <v>62.554001676601928</v>
      </c>
      <c r="DY93" s="3">
        <f t="shared" si="159"/>
        <v>61.790268235535557</v>
      </c>
      <c r="DZ93" s="3">
        <f t="shared" si="160"/>
        <v>61.107455891296617</v>
      </c>
      <c r="EA93" s="3">
        <f t="shared" si="161"/>
        <v>60.465326814565742</v>
      </c>
    </row>
    <row r="94" spans="5:131" x14ac:dyDescent="0.3">
      <c r="E94" s="27"/>
      <c r="F94" s="17">
        <v>300</v>
      </c>
      <c r="G94" s="15">
        <f t="shared" si="164"/>
        <v>287.20458331783192</v>
      </c>
      <c r="H94" s="15">
        <f t="shared" si="165"/>
        <v>274.47945650127747</v>
      </c>
      <c r="I94" s="15">
        <f t="shared" si="166"/>
        <v>261.89403216396983</v>
      </c>
      <c r="J94" s="15">
        <f t="shared" si="167"/>
        <v>249.51598121594657</v>
      </c>
      <c r="K94" s="15">
        <f t="shared" si="168"/>
        <v>237.41039374200528</v>
      </c>
      <c r="L94" s="15">
        <f t="shared" si="169"/>
        <v>225.63897720725134</v>
      </c>
      <c r="M94" s="15">
        <f t="shared" si="170"/>
        <v>214.25930321091445</v>
      </c>
      <c r="N94" s="15">
        <f t="shared" si="171"/>
        <v>203.32411301536513</v>
      </c>
      <c r="O94" s="15">
        <f t="shared" si="172"/>
        <v>192.88069089761245</v>
      </c>
      <c r="P94" s="15">
        <f t="shared" si="173"/>
        <v>182.97031304318858</v>
      </c>
      <c r="Q94" s="15">
        <f t="shared" si="174"/>
        <v>173.62777826859929</v>
      </c>
      <c r="R94" s="15">
        <f t="shared" si="175"/>
        <v>164.88102536165582</v>
      </c>
      <c r="S94" s="15">
        <f t="shared" si="176"/>
        <v>156.75084031219725</v>
      </c>
      <c r="T94" s="15">
        <f t="shared" si="177"/>
        <v>149.25065521040028</v>
      </c>
      <c r="U94" s="15">
        <f t="shared" si="178"/>
        <v>142.38643915412513</v>
      </c>
      <c r="V94" s="15">
        <f t="shared" si="179"/>
        <v>136.1566801638451</v>
      </c>
      <c r="W94" s="15">
        <f t="shared" si="180"/>
        <v>130.55245588106158</v>
      </c>
      <c r="X94" s="15">
        <f t="shared" si="181"/>
        <v>125.55758974443728</v>
      </c>
      <c r="Y94" s="15">
        <f t="shared" si="182"/>
        <v>121.14888841078472</v>
      </c>
      <c r="Z94" s="15">
        <f t="shared" si="183"/>
        <v>117.2964554218869</v>
      </c>
      <c r="AA94" s="15">
        <f t="shared" si="184"/>
        <v>113.96407551228972</v>
      </c>
      <c r="AB94" s="15">
        <f t="shared" si="185"/>
        <v>111.10966350062378</v>
      </c>
      <c r="AC94" s="15">
        <f t="shared" si="186"/>
        <v>108.68577139501525</v>
      </c>
      <c r="AD94" s="15">
        <f t="shared" si="187"/>
        <v>106.64014715446093</v>
      </c>
      <c r="AE94" s="15">
        <f t="shared" si="188"/>
        <v>104.91633846201009</v>
      </c>
      <c r="AF94" s="15">
        <f t="shared" si="189"/>
        <v>103.45433485945046</v>
      </c>
      <c r="AG94" s="15">
        <f t="shared" si="190"/>
        <v>102.19124164338535</v>
      </c>
      <c r="AH94" s="15">
        <f t="shared" si="191"/>
        <v>101.0619790060842</v>
      </c>
      <c r="AI94" s="17">
        <v>100</v>
      </c>
      <c r="AK94" s="28"/>
      <c r="AL94" s="3">
        <f t="shared" si="163"/>
        <v>-1076400000</v>
      </c>
      <c r="AM94" s="3">
        <f t="shared" si="198"/>
        <v>-1030490044.9443809</v>
      </c>
      <c r="AN94" s="3">
        <f t="shared" si="199"/>
        <v>-984832289.92658353</v>
      </c>
      <c r="AO94" s="3">
        <f t="shared" si="200"/>
        <v>-939675787.4043237</v>
      </c>
      <c r="AP94" s="3">
        <f t="shared" si="201"/>
        <v>-895263340.60281622</v>
      </c>
      <c r="AQ94" s="3">
        <f t="shared" si="202"/>
        <v>-851828492.746315</v>
      </c>
      <c r="AR94" s="3">
        <f t="shared" si="203"/>
        <v>-809592650.21961784</v>
      </c>
      <c r="AS94" s="3">
        <f t="shared" si="204"/>
        <v>-768762379.92076111</v>
      </c>
      <c r="AT94" s="3">
        <f t="shared" si="205"/>
        <v>-729526917.49912989</v>
      </c>
      <c r="AU94" s="3">
        <f t="shared" si="206"/>
        <v>-692055918.9406333</v>
      </c>
      <c r="AV94" s="3">
        <f t="shared" si="207"/>
        <v>-656497483.19896066</v>
      </c>
      <c r="AW94" s="3">
        <f t="shared" si="208"/>
        <v>-622976468.42773426</v>
      </c>
      <c r="AX94" s="3">
        <f t="shared" si="209"/>
        <v>-591593118.99762106</v>
      </c>
      <c r="AY94" s="3">
        <f t="shared" si="210"/>
        <v>-562422015.04016376</v>
      </c>
      <c r="AZ94" s="3">
        <f t="shared" si="211"/>
        <v>-535511350.89491624</v>
      </c>
      <c r="BA94" s="3">
        <f t="shared" si="212"/>
        <v>-510882543.68500084</v>
      </c>
      <c r="BB94" s="3">
        <f t="shared" si="213"/>
        <v>-488530168.42787611</v>
      </c>
      <c r="BC94" s="3">
        <f t="shared" si="214"/>
        <v>-468422211.70124882</v>
      </c>
      <c r="BD94" s="3">
        <f t="shared" si="215"/>
        <v>-450500632.00304097</v>
      </c>
      <c r="BE94" s="3">
        <f t="shared" si="216"/>
        <v>-434682211.6178956</v>
      </c>
      <c r="BF94" s="3">
        <f t="shared" si="217"/>
        <v>-420859682.05373019</v>
      </c>
      <c r="BG94" s="3">
        <f t="shared" si="218"/>
        <v>-408903102.93809551</v>
      </c>
      <c r="BH94" s="3">
        <f t="shared" si="219"/>
        <v>-398661472.64023811</v>
      </c>
      <c r="BI94" s="3">
        <f t="shared" si="220"/>
        <v>-389964547.7653147</v>
      </c>
      <c r="BJ94" s="3">
        <f t="shared" si="192"/>
        <v>-382624847.99020576</v>
      </c>
      <c r="BK94" s="3">
        <f t="shared" si="193"/>
        <v>-376439822.40169221</v>
      </c>
      <c r="BL94" s="3">
        <f t="shared" si="194"/>
        <v>-371194153.47570825</v>
      </c>
      <c r="BM94" s="3">
        <f t="shared" si="195"/>
        <v>-366662175.01646668</v>
      </c>
      <c r="BN94" s="3">
        <f t="shared" si="196"/>
        <v>-362610380.67383003</v>
      </c>
      <c r="BO94" s="3">
        <f t="shared" si="197"/>
        <v>-358800000</v>
      </c>
      <c r="BQ94" s="28"/>
      <c r="BR94" s="3">
        <f t="shared" si="102"/>
        <v>0.39804206615396576</v>
      </c>
      <c r="BS94" s="3">
        <f t="shared" si="103"/>
        <v>0.39804206615396576</v>
      </c>
      <c r="BT94" s="3">
        <f t="shared" si="104"/>
        <v>0.39804206615396576</v>
      </c>
      <c r="BU94" s="3">
        <f t="shared" si="105"/>
        <v>0.39804206615396576</v>
      </c>
      <c r="BV94" s="3">
        <f t="shared" si="106"/>
        <v>0.39804206615396576</v>
      </c>
      <c r="BW94" s="3">
        <f t="shared" si="107"/>
        <v>0.39804206615396576</v>
      </c>
      <c r="BX94" s="3">
        <f t="shared" si="108"/>
        <v>0.39804206615396576</v>
      </c>
      <c r="BY94" s="3">
        <f t="shared" si="109"/>
        <v>0.39804206615396576</v>
      </c>
      <c r="BZ94" s="3">
        <f t="shared" si="110"/>
        <v>0.39804206615396576</v>
      </c>
      <c r="CA94" s="3">
        <f t="shared" si="111"/>
        <v>0.39804206615396576</v>
      </c>
      <c r="CB94" s="3">
        <f t="shared" si="112"/>
        <v>0.39804206615396576</v>
      </c>
      <c r="CC94" s="3">
        <f t="shared" si="113"/>
        <v>0.39804206615396576</v>
      </c>
      <c r="CD94" s="3">
        <f t="shared" si="114"/>
        <v>0.39804206615396576</v>
      </c>
      <c r="CE94" s="3">
        <f t="shared" si="115"/>
        <v>0.39804206615396576</v>
      </c>
      <c r="CF94" s="3">
        <f t="shared" si="116"/>
        <v>0.39804206615396576</v>
      </c>
      <c r="CG94" s="3">
        <f t="shared" si="117"/>
        <v>0.39804206615396576</v>
      </c>
      <c r="CH94" s="3">
        <f t="shared" si="118"/>
        <v>0.39804206615396576</v>
      </c>
      <c r="CI94" s="3">
        <f t="shared" si="119"/>
        <v>0.39804206615396576</v>
      </c>
      <c r="CJ94" s="3">
        <f t="shared" si="120"/>
        <v>0.39804206615396576</v>
      </c>
      <c r="CK94" s="3">
        <f t="shared" si="121"/>
        <v>0.39804206615396576</v>
      </c>
      <c r="CL94" s="3">
        <f t="shared" si="122"/>
        <v>0.39804206615396576</v>
      </c>
      <c r="CM94" s="3">
        <f t="shared" si="123"/>
        <v>0.39804206615396576</v>
      </c>
      <c r="CN94" s="3">
        <f t="shared" si="124"/>
        <v>0.39804206615396576</v>
      </c>
      <c r="CO94" s="3">
        <f t="shared" si="125"/>
        <v>0.39804206615396576</v>
      </c>
      <c r="CP94" s="3">
        <f t="shared" si="126"/>
        <v>0.39804206615396576</v>
      </c>
      <c r="CQ94" s="3">
        <f t="shared" si="127"/>
        <v>0.39804206615396576</v>
      </c>
      <c r="CR94" s="3">
        <f t="shared" si="128"/>
        <v>0.39804206615396576</v>
      </c>
      <c r="CS94" s="3">
        <f t="shared" si="129"/>
        <v>0.39804206615396576</v>
      </c>
      <c r="CT94" s="3">
        <f t="shared" si="130"/>
        <v>0.39804206615396576</v>
      </c>
      <c r="CU94" s="3">
        <f t="shared" si="131"/>
        <v>0.39804206615396576</v>
      </c>
      <c r="CW94" s="28"/>
      <c r="CX94" s="3">
        <f t="shared" si="132"/>
        <v>180.5873801538103</v>
      </c>
      <c r="CY94" s="3">
        <f t="shared" si="133"/>
        <v>172.88507756511331</v>
      </c>
      <c r="CZ94" s="3">
        <f t="shared" si="134"/>
        <v>165.22508651869143</v>
      </c>
      <c r="DA94" s="3">
        <f t="shared" si="135"/>
        <v>157.64919048803014</v>
      </c>
      <c r="DB94" s="3">
        <f t="shared" si="136"/>
        <v>150.1981245143171</v>
      </c>
      <c r="DC94" s="3">
        <f t="shared" si="137"/>
        <v>142.91107009051098</v>
      </c>
      <c r="DD94" s="3">
        <f t="shared" si="138"/>
        <v>135.82517251480945</v>
      </c>
      <c r="DE94" s="3">
        <f t="shared" si="139"/>
        <v>128.97508746813304</v>
      </c>
      <c r="DF94" s="3">
        <f t="shared" si="140"/>
        <v>122.39256297180677</v>
      </c>
      <c r="DG94" s="3">
        <f t="shared" si="141"/>
        <v>116.10606217152238</v>
      </c>
      <c r="DH94" s="3">
        <f t="shared" si="142"/>
        <v>110.14043159463991</v>
      </c>
      <c r="DI94" s="3">
        <f t="shared" si="143"/>
        <v>104.51661866484341</v>
      </c>
      <c r="DJ94" s="3">
        <f t="shared" si="144"/>
        <v>99.251441357117912</v>
      </c>
      <c r="DK94" s="3">
        <f t="shared" si="145"/>
        <v>94.357411962959929</v>
      </c>
      <c r="DL94" s="3">
        <f t="shared" si="146"/>
        <v>89.842616035619415</v>
      </c>
      <c r="DM94" s="3">
        <f t="shared" si="147"/>
        <v>85.710646720911228</v>
      </c>
      <c r="DN94" s="3">
        <f t="shared" si="148"/>
        <v>81.960593870763518</v>
      </c>
      <c r="DO94" s="3">
        <f t="shared" si="149"/>
        <v>78.587086600689375</v>
      </c>
      <c r="DP94" s="3">
        <f t="shared" si="150"/>
        <v>75.580387301249488</v>
      </c>
      <c r="DQ94" s="3">
        <f t="shared" si="151"/>
        <v>72.926534555499742</v>
      </c>
      <c r="DR94" s="3">
        <f t="shared" si="152"/>
        <v>70.607531953222505</v>
      </c>
      <c r="DS94" s="3">
        <f t="shared" si="153"/>
        <v>68.601579428051352</v>
      </c>
      <c r="DT94" s="3">
        <f t="shared" si="154"/>
        <v>66.883343471163627</v>
      </c>
      <c r="DU94" s="3">
        <f t="shared" si="155"/>
        <v>65.42426238740579</v>
      </c>
      <c r="DV94" s="3">
        <f t="shared" si="156"/>
        <v>64.192882646136354</v>
      </c>
      <c r="DW94" s="3">
        <f t="shared" si="157"/>
        <v>63.155222327282821</v>
      </c>
      <c r="DX94" s="3">
        <f t="shared" si="158"/>
        <v>62.27515765941056</v>
      </c>
      <c r="DY94" s="3">
        <f t="shared" si="159"/>
        <v>61.514828676813067</v>
      </c>
      <c r="DZ94" s="3">
        <f t="shared" si="160"/>
        <v>60.835060072893739</v>
      </c>
      <c r="EA94" s="3">
        <f t="shared" si="161"/>
        <v>60.195793384603434</v>
      </c>
    </row>
    <row r="95" spans="5:131" x14ac:dyDescent="0.3">
      <c r="E95" s="27"/>
      <c r="F95" s="17">
        <v>300</v>
      </c>
      <c r="G95" s="15">
        <f t="shared" si="164"/>
        <v>287.20458331783192</v>
      </c>
      <c r="H95" s="15">
        <f t="shared" si="165"/>
        <v>274.47945650127747</v>
      </c>
      <c r="I95" s="15">
        <f t="shared" si="166"/>
        <v>261.89403216396983</v>
      </c>
      <c r="J95" s="15">
        <f t="shared" si="167"/>
        <v>249.51598121594657</v>
      </c>
      <c r="K95" s="15">
        <f t="shared" si="168"/>
        <v>237.41039374200531</v>
      </c>
      <c r="L95" s="15">
        <f t="shared" si="169"/>
        <v>225.63897720725134</v>
      </c>
      <c r="M95" s="15">
        <f t="shared" si="170"/>
        <v>214.25930321091448</v>
      </c>
      <c r="N95" s="15">
        <f t="shared" si="171"/>
        <v>203.32411301536516</v>
      </c>
      <c r="O95" s="15">
        <f t="shared" si="172"/>
        <v>192.88069089761245</v>
      </c>
      <c r="P95" s="15">
        <f t="shared" si="173"/>
        <v>182.97031304318858</v>
      </c>
      <c r="Q95" s="15">
        <f t="shared" si="174"/>
        <v>173.62777826859929</v>
      </c>
      <c r="R95" s="15">
        <f t="shared" si="175"/>
        <v>164.88102536165582</v>
      </c>
      <c r="S95" s="15">
        <f t="shared" si="176"/>
        <v>156.75084031219728</v>
      </c>
      <c r="T95" s="15">
        <f t="shared" si="177"/>
        <v>149.25065521040028</v>
      </c>
      <c r="U95" s="15">
        <f t="shared" si="178"/>
        <v>142.38643915412513</v>
      </c>
      <c r="V95" s="15">
        <f t="shared" si="179"/>
        <v>136.1566801638451</v>
      </c>
      <c r="W95" s="15">
        <f t="shared" si="180"/>
        <v>130.55245588106158</v>
      </c>
      <c r="X95" s="15">
        <f t="shared" si="181"/>
        <v>125.55758974443729</v>
      </c>
      <c r="Y95" s="15">
        <f t="shared" si="182"/>
        <v>121.14888841078474</v>
      </c>
      <c r="Z95" s="15">
        <f t="shared" si="183"/>
        <v>117.29645542188692</v>
      </c>
      <c r="AA95" s="15">
        <f t="shared" si="184"/>
        <v>113.96407551228972</v>
      </c>
      <c r="AB95" s="15">
        <f t="shared" si="185"/>
        <v>111.10966350062378</v>
      </c>
      <c r="AC95" s="15">
        <f t="shared" si="186"/>
        <v>108.68577139501525</v>
      </c>
      <c r="AD95" s="15">
        <f t="shared" si="187"/>
        <v>106.64014715446095</v>
      </c>
      <c r="AE95" s="15">
        <f t="shared" si="188"/>
        <v>104.91633846201009</v>
      </c>
      <c r="AF95" s="15">
        <f t="shared" si="189"/>
        <v>103.45433485945046</v>
      </c>
      <c r="AG95" s="15">
        <f t="shared" si="190"/>
        <v>102.19124164338535</v>
      </c>
      <c r="AH95" s="15">
        <f t="shared" si="191"/>
        <v>101.06197900608419</v>
      </c>
      <c r="AI95" s="17">
        <v>100</v>
      </c>
      <c r="AK95" s="28"/>
      <c r="AL95" s="3">
        <f t="shared" si="163"/>
        <v>-1076400000</v>
      </c>
      <c r="AM95" s="3">
        <f t="shared" si="198"/>
        <v>-1030490044.9443809</v>
      </c>
      <c r="AN95" s="3">
        <f t="shared" si="199"/>
        <v>-984832289.92658353</v>
      </c>
      <c r="AO95" s="3">
        <f t="shared" si="200"/>
        <v>-939675787.4043237</v>
      </c>
      <c r="AP95" s="3">
        <f t="shared" si="201"/>
        <v>-895263340.60281622</v>
      </c>
      <c r="AQ95" s="3">
        <f t="shared" si="202"/>
        <v>-851828492.746315</v>
      </c>
      <c r="AR95" s="3">
        <f t="shared" si="203"/>
        <v>-809592650.21961784</v>
      </c>
      <c r="AS95" s="3">
        <f t="shared" si="204"/>
        <v>-768762379.92076111</v>
      </c>
      <c r="AT95" s="3">
        <f t="shared" si="205"/>
        <v>-729526917.49913013</v>
      </c>
      <c r="AU95" s="3">
        <f t="shared" si="206"/>
        <v>-692055918.9406333</v>
      </c>
      <c r="AV95" s="3">
        <f t="shared" si="207"/>
        <v>-656497483.19896066</v>
      </c>
      <c r="AW95" s="3">
        <f t="shared" si="208"/>
        <v>-622976468.42773426</v>
      </c>
      <c r="AX95" s="3">
        <f t="shared" si="209"/>
        <v>-591593118.99762106</v>
      </c>
      <c r="AY95" s="3">
        <f t="shared" si="210"/>
        <v>-562422015.04016376</v>
      </c>
      <c r="AZ95" s="3">
        <f t="shared" si="211"/>
        <v>-535511350.89491624</v>
      </c>
      <c r="BA95" s="3">
        <f t="shared" si="212"/>
        <v>-510882543.68500084</v>
      </c>
      <c r="BB95" s="3">
        <f t="shared" si="213"/>
        <v>-488530168.42787611</v>
      </c>
      <c r="BC95" s="3">
        <f t="shared" si="214"/>
        <v>-468422211.70124882</v>
      </c>
      <c r="BD95" s="3">
        <f t="shared" si="215"/>
        <v>-450500632.00304097</v>
      </c>
      <c r="BE95" s="3">
        <f t="shared" si="216"/>
        <v>-434682211.6178956</v>
      </c>
      <c r="BF95" s="3">
        <f t="shared" si="217"/>
        <v>-420859682.05373019</v>
      </c>
      <c r="BG95" s="3">
        <f t="shared" si="218"/>
        <v>-408903102.93809551</v>
      </c>
      <c r="BH95" s="3">
        <f t="shared" si="219"/>
        <v>-398661472.64023811</v>
      </c>
      <c r="BI95" s="3">
        <f t="shared" si="220"/>
        <v>-389964547.7653147</v>
      </c>
      <c r="BJ95" s="3">
        <f t="shared" si="192"/>
        <v>-382624847.99020588</v>
      </c>
      <c r="BK95" s="3">
        <f t="shared" si="193"/>
        <v>-376439822.40169221</v>
      </c>
      <c r="BL95" s="3">
        <f t="shared" si="194"/>
        <v>-371194153.47570825</v>
      </c>
      <c r="BM95" s="3">
        <f t="shared" si="195"/>
        <v>-366662175.01646668</v>
      </c>
      <c r="BN95" s="3">
        <f t="shared" si="196"/>
        <v>-362610380.67383003</v>
      </c>
      <c r="BO95" s="3">
        <f t="shared" si="197"/>
        <v>-358800000</v>
      </c>
      <c r="BQ95" s="28"/>
      <c r="BR95" s="3">
        <f t="shared" si="102"/>
        <v>0.41517002114434032</v>
      </c>
      <c r="BS95" s="3">
        <f t="shared" si="103"/>
        <v>0.41517002114434032</v>
      </c>
      <c r="BT95" s="3">
        <f t="shared" si="104"/>
        <v>0.41517002114434032</v>
      </c>
      <c r="BU95" s="3">
        <f t="shared" si="105"/>
        <v>0.41517002114434032</v>
      </c>
      <c r="BV95" s="3">
        <f t="shared" si="106"/>
        <v>0.41517002114434032</v>
      </c>
      <c r="BW95" s="3">
        <f t="shared" si="107"/>
        <v>0.41517002114434032</v>
      </c>
      <c r="BX95" s="3">
        <f t="shared" si="108"/>
        <v>0.41517002114434032</v>
      </c>
      <c r="BY95" s="3">
        <f t="shared" si="109"/>
        <v>0.41517002114434032</v>
      </c>
      <c r="BZ95" s="3">
        <f t="shared" si="110"/>
        <v>0.41517002114434032</v>
      </c>
      <c r="CA95" s="3">
        <f t="shared" si="111"/>
        <v>0.41517002114434032</v>
      </c>
      <c r="CB95" s="3">
        <f t="shared" si="112"/>
        <v>0.41517002114434032</v>
      </c>
      <c r="CC95" s="3">
        <f t="shared" si="113"/>
        <v>0.41517002114434032</v>
      </c>
      <c r="CD95" s="3">
        <f t="shared" si="114"/>
        <v>0.41517002114434032</v>
      </c>
      <c r="CE95" s="3">
        <f t="shared" si="115"/>
        <v>0.41517002114434032</v>
      </c>
      <c r="CF95" s="3">
        <f t="shared" si="116"/>
        <v>0.41517002114434032</v>
      </c>
      <c r="CG95" s="3">
        <f t="shared" si="117"/>
        <v>0.41517002114434032</v>
      </c>
      <c r="CH95" s="3">
        <f t="shared" si="118"/>
        <v>0.41517002114434032</v>
      </c>
      <c r="CI95" s="3">
        <f t="shared" si="119"/>
        <v>0.41517002114434032</v>
      </c>
      <c r="CJ95" s="3">
        <f t="shared" si="120"/>
        <v>0.41517002114434032</v>
      </c>
      <c r="CK95" s="3">
        <f t="shared" si="121"/>
        <v>0.41517002114434032</v>
      </c>
      <c r="CL95" s="3">
        <f t="shared" si="122"/>
        <v>0.41517002114434032</v>
      </c>
      <c r="CM95" s="3">
        <f t="shared" si="123"/>
        <v>0.41517002114434032</v>
      </c>
      <c r="CN95" s="3">
        <f t="shared" si="124"/>
        <v>0.41517002114434032</v>
      </c>
      <c r="CO95" s="3">
        <f t="shared" si="125"/>
        <v>0.41517002114434032</v>
      </c>
      <c r="CP95" s="3">
        <f t="shared" si="126"/>
        <v>0.41517002114434032</v>
      </c>
      <c r="CQ95" s="3">
        <f t="shared" si="127"/>
        <v>0.41517002114434032</v>
      </c>
      <c r="CR95" s="3">
        <f t="shared" si="128"/>
        <v>0.41517002114434032</v>
      </c>
      <c r="CS95" s="3">
        <f t="shared" si="129"/>
        <v>0.41517002114434032</v>
      </c>
      <c r="CT95" s="3">
        <f t="shared" si="130"/>
        <v>0.41517002114434032</v>
      </c>
      <c r="CU95" s="3">
        <f t="shared" si="131"/>
        <v>0.41517002114434032</v>
      </c>
      <c r="CW95" s="28"/>
      <c r="CX95" s="3">
        <f t="shared" si="132"/>
        <v>175.44899365669792</v>
      </c>
      <c r="CY95" s="3">
        <f t="shared" si="133"/>
        <v>167.9658503890162</v>
      </c>
      <c r="CZ95" s="3">
        <f t="shared" si="134"/>
        <v>160.52381474195508</v>
      </c>
      <c r="DA95" s="3">
        <f t="shared" si="135"/>
        <v>153.16348129287792</v>
      </c>
      <c r="DB95" s="3">
        <f t="shared" si="136"/>
        <v>145.9244260186712</v>
      </c>
      <c r="DC95" s="3">
        <f t="shared" si="137"/>
        <v>138.84471555225082</v>
      </c>
      <c r="DD95" s="3">
        <f t="shared" si="138"/>
        <v>131.9604382691295</v>
      </c>
      <c r="DE95" s="3">
        <f t="shared" si="139"/>
        <v>125.30526376646749</v>
      </c>
      <c r="DF95" s="3">
        <f t="shared" si="140"/>
        <v>118.91003671562177</v>
      </c>
      <c r="DG95" s="3">
        <f t="shared" si="141"/>
        <v>112.80241037931572</v>
      </c>
      <c r="DH95" s="3">
        <f t="shared" si="142"/>
        <v>107.00652430826142</v>
      </c>
      <c r="DI95" s="3">
        <f t="shared" si="143"/>
        <v>101.5427298935801</v>
      </c>
      <c r="DJ95" s="3">
        <f t="shared" si="144"/>
        <v>96.427366575956668</v>
      </c>
      <c r="DK95" s="3">
        <f t="shared" si="145"/>
        <v>91.672590625389219</v>
      </c>
      <c r="DL95" s="3">
        <f t="shared" si="146"/>
        <v>87.28625753089176</v>
      </c>
      <c r="DM95" s="3">
        <f t="shared" si="147"/>
        <v>83.27185819983967</v>
      </c>
      <c r="DN95" s="3">
        <f t="shared" si="148"/>
        <v>79.628508381278337</v>
      </c>
      <c r="DO95" s="3">
        <f t="shared" si="149"/>
        <v>76.350990012475677</v>
      </c>
      <c r="DP95" s="3">
        <f t="shared" si="150"/>
        <v>73.429842555406864</v>
      </c>
      <c r="DQ95" s="3">
        <f t="shared" si="151"/>
        <v>70.851501847665915</v>
      </c>
      <c r="DR95" s="3">
        <f t="shared" si="152"/>
        <v>68.598483544225957</v>
      </c>
      <c r="DS95" s="3">
        <f t="shared" si="153"/>
        <v>66.649607872157205</v>
      </c>
      <c r="DT95" s="3">
        <f t="shared" si="154"/>
        <v>64.980262155729278</v>
      </c>
      <c r="DU95" s="3">
        <f t="shared" si="155"/>
        <v>63.562697386857835</v>
      </c>
      <c r="DV95" s="3">
        <f t="shared" si="156"/>
        <v>62.366355005507842</v>
      </c>
      <c r="DW95" s="3">
        <f t="shared" si="157"/>
        <v>61.358220004350599</v>
      </c>
      <c r="DX95" s="3">
        <f t="shared" si="158"/>
        <v>60.503196468378754</v>
      </c>
      <c r="DY95" s="3">
        <f t="shared" si="159"/>
        <v>59.764501689534676</v>
      </c>
      <c r="DZ95" s="3">
        <f t="shared" si="160"/>
        <v>59.104075045239341</v>
      </c>
      <c r="EA95" s="3">
        <f t="shared" si="161"/>
        <v>58.482997885565972</v>
      </c>
    </row>
    <row r="96" spans="5:131" x14ac:dyDescent="0.3">
      <c r="E96" s="27"/>
      <c r="F96" s="17">
        <v>300</v>
      </c>
      <c r="G96" s="15">
        <f t="shared" si="164"/>
        <v>287.20458331783192</v>
      </c>
      <c r="H96" s="15">
        <f t="shared" si="165"/>
        <v>274.47945650127747</v>
      </c>
      <c r="I96" s="15">
        <f t="shared" si="166"/>
        <v>261.89403216396983</v>
      </c>
      <c r="J96" s="15">
        <f t="shared" si="167"/>
        <v>249.51598121594657</v>
      </c>
      <c r="K96" s="15">
        <f t="shared" si="168"/>
        <v>237.41039374200531</v>
      </c>
      <c r="L96" s="15">
        <f t="shared" si="169"/>
        <v>225.63897720725134</v>
      </c>
      <c r="M96" s="15">
        <f t="shared" si="170"/>
        <v>214.25930321091448</v>
      </c>
      <c r="N96" s="15">
        <f t="shared" si="171"/>
        <v>203.32411301536516</v>
      </c>
      <c r="O96" s="15">
        <f t="shared" si="172"/>
        <v>192.88069089761245</v>
      </c>
      <c r="P96" s="15">
        <f t="shared" si="173"/>
        <v>182.97031304318858</v>
      </c>
      <c r="Q96" s="15">
        <f t="shared" si="174"/>
        <v>173.62777826859929</v>
      </c>
      <c r="R96" s="15">
        <f t="shared" si="175"/>
        <v>164.88102536165582</v>
      </c>
      <c r="S96" s="15">
        <f t="shared" si="176"/>
        <v>156.75084031219728</v>
      </c>
      <c r="T96" s="15">
        <f t="shared" si="177"/>
        <v>149.25065521040028</v>
      </c>
      <c r="U96" s="15">
        <f t="shared" si="178"/>
        <v>142.38643915412513</v>
      </c>
      <c r="V96" s="15">
        <f t="shared" si="179"/>
        <v>136.15668016384507</v>
      </c>
      <c r="W96" s="15">
        <f t="shared" si="180"/>
        <v>130.55245588106158</v>
      </c>
      <c r="X96" s="15">
        <f t="shared" si="181"/>
        <v>125.55758974443729</v>
      </c>
      <c r="Y96" s="15">
        <f t="shared" si="182"/>
        <v>121.14888841078474</v>
      </c>
      <c r="Z96" s="15">
        <f t="shared" si="183"/>
        <v>117.29645542188692</v>
      </c>
      <c r="AA96" s="15">
        <f t="shared" si="184"/>
        <v>113.96407551228972</v>
      </c>
      <c r="AB96" s="15">
        <f t="shared" si="185"/>
        <v>111.10966350062378</v>
      </c>
      <c r="AC96" s="15">
        <f t="shared" si="186"/>
        <v>108.68577139501525</v>
      </c>
      <c r="AD96" s="15">
        <f t="shared" si="187"/>
        <v>106.64014715446095</v>
      </c>
      <c r="AE96" s="15">
        <f t="shared" si="188"/>
        <v>104.91633846201009</v>
      </c>
      <c r="AF96" s="15">
        <f t="shared" si="189"/>
        <v>103.45433485945046</v>
      </c>
      <c r="AG96" s="15">
        <f t="shared" si="190"/>
        <v>102.19124164338535</v>
      </c>
      <c r="AH96" s="15">
        <f t="shared" si="191"/>
        <v>101.06197900608419</v>
      </c>
      <c r="AI96" s="17">
        <v>100</v>
      </c>
      <c r="AK96" s="28"/>
      <c r="AL96" s="3">
        <f t="shared" si="163"/>
        <v>-1076400000</v>
      </c>
      <c r="AM96" s="3">
        <f t="shared" si="198"/>
        <v>-1030490044.9443809</v>
      </c>
      <c r="AN96" s="3">
        <f t="shared" si="199"/>
        <v>-984832289.92658353</v>
      </c>
      <c r="AO96" s="3">
        <f t="shared" si="200"/>
        <v>-939675787.4043237</v>
      </c>
      <c r="AP96" s="3">
        <f t="shared" si="201"/>
        <v>-895263340.60281622</v>
      </c>
      <c r="AQ96" s="3">
        <f t="shared" si="202"/>
        <v>-851828492.746315</v>
      </c>
      <c r="AR96" s="3">
        <f t="shared" si="203"/>
        <v>-809592650.21961784</v>
      </c>
      <c r="AS96" s="3">
        <f t="shared" si="204"/>
        <v>-768762379.92076111</v>
      </c>
      <c r="AT96" s="3">
        <f t="shared" si="205"/>
        <v>-729526917.49913013</v>
      </c>
      <c r="AU96" s="3">
        <f t="shared" si="206"/>
        <v>-692055918.9406333</v>
      </c>
      <c r="AV96" s="3">
        <f t="shared" si="207"/>
        <v>-656497483.19896066</v>
      </c>
      <c r="AW96" s="3">
        <f t="shared" si="208"/>
        <v>-622976468.42773426</v>
      </c>
      <c r="AX96" s="3">
        <f t="shared" si="209"/>
        <v>-591593118.99762106</v>
      </c>
      <c r="AY96" s="3">
        <f t="shared" si="210"/>
        <v>-562422015.04016376</v>
      </c>
      <c r="AZ96" s="3">
        <f t="shared" si="211"/>
        <v>-535511350.89491624</v>
      </c>
      <c r="BA96" s="3">
        <f t="shared" si="212"/>
        <v>-510882543.68500084</v>
      </c>
      <c r="BB96" s="3">
        <f t="shared" si="213"/>
        <v>-488530168.42787611</v>
      </c>
      <c r="BC96" s="3">
        <f t="shared" si="214"/>
        <v>-468422211.70124882</v>
      </c>
      <c r="BD96" s="3">
        <f t="shared" si="215"/>
        <v>-450500632.00304103</v>
      </c>
      <c r="BE96" s="3">
        <f t="shared" si="216"/>
        <v>-434682211.6178956</v>
      </c>
      <c r="BF96" s="3">
        <f t="shared" si="217"/>
        <v>-420859682.05373019</v>
      </c>
      <c r="BG96" s="3">
        <f t="shared" si="218"/>
        <v>-408903102.93809551</v>
      </c>
      <c r="BH96" s="3">
        <f t="shared" si="219"/>
        <v>-398661472.64023811</v>
      </c>
      <c r="BI96" s="3">
        <f t="shared" si="220"/>
        <v>-389964547.7653147</v>
      </c>
      <c r="BJ96" s="3">
        <f t="shared" si="192"/>
        <v>-382624847.99020588</v>
      </c>
      <c r="BK96" s="3">
        <f t="shared" si="193"/>
        <v>-376439822.40169221</v>
      </c>
      <c r="BL96" s="3">
        <f t="shared" si="194"/>
        <v>-371194153.47570825</v>
      </c>
      <c r="BM96" s="3">
        <f t="shared" si="195"/>
        <v>-366662175.01646668</v>
      </c>
      <c r="BN96" s="3">
        <f t="shared" si="196"/>
        <v>-362610380.67383003</v>
      </c>
      <c r="BO96" s="3">
        <f t="shared" si="197"/>
        <v>-358800000</v>
      </c>
      <c r="BQ96" s="28"/>
      <c r="BR96" s="3">
        <f>$C$21/($C$22-$C$23*BR97)</f>
        <v>0.51881554595928436</v>
      </c>
      <c r="BS96" s="3">
        <f t="shared" ref="BS96:CU96" si="221">$C$21/($C$22-$C$23*BS97)</f>
        <v>0.51881554595928436</v>
      </c>
      <c r="BT96" s="3">
        <f t="shared" si="221"/>
        <v>0.51881554595928436</v>
      </c>
      <c r="BU96" s="3">
        <f t="shared" si="221"/>
        <v>0.51881554595928436</v>
      </c>
      <c r="BV96" s="3">
        <f t="shared" si="221"/>
        <v>0.51881554595928436</v>
      </c>
      <c r="BW96" s="3">
        <f t="shared" si="221"/>
        <v>0.51881554595928436</v>
      </c>
      <c r="BX96" s="3">
        <f t="shared" si="221"/>
        <v>0.51881554595928436</v>
      </c>
      <c r="BY96" s="3">
        <f t="shared" si="221"/>
        <v>0.51881554595928436</v>
      </c>
      <c r="BZ96" s="3">
        <f t="shared" si="221"/>
        <v>0.51881554595928436</v>
      </c>
      <c r="CA96" s="3">
        <f t="shared" si="221"/>
        <v>0.51881554595928436</v>
      </c>
      <c r="CB96" s="3">
        <f t="shared" si="221"/>
        <v>0.51881554595928436</v>
      </c>
      <c r="CC96" s="3">
        <f t="shared" si="221"/>
        <v>0.51881554595928436</v>
      </c>
      <c r="CD96" s="3">
        <f t="shared" si="221"/>
        <v>0.51881554595928436</v>
      </c>
      <c r="CE96" s="3">
        <f t="shared" si="221"/>
        <v>0.51881554595928436</v>
      </c>
      <c r="CF96" s="3">
        <f t="shared" si="221"/>
        <v>0.51881554595928436</v>
      </c>
      <c r="CG96" s="3">
        <f t="shared" si="221"/>
        <v>0.51881554595928436</v>
      </c>
      <c r="CH96" s="3">
        <f t="shared" si="221"/>
        <v>0.51881554595928436</v>
      </c>
      <c r="CI96" s="3">
        <f t="shared" si="221"/>
        <v>0.51881554595928436</v>
      </c>
      <c r="CJ96" s="3">
        <f t="shared" si="221"/>
        <v>0.51881554595928436</v>
      </c>
      <c r="CK96" s="3">
        <f t="shared" si="221"/>
        <v>0.51881554595928436</v>
      </c>
      <c r="CL96" s="3">
        <f t="shared" si="221"/>
        <v>0.51881554595928436</v>
      </c>
      <c r="CM96" s="3">
        <f t="shared" si="221"/>
        <v>0.51881554595928436</v>
      </c>
      <c r="CN96" s="3">
        <f t="shared" si="221"/>
        <v>0.51881554595928436</v>
      </c>
      <c r="CO96" s="3">
        <f t="shared" si="221"/>
        <v>0.51881554595928436</v>
      </c>
      <c r="CP96" s="3">
        <f t="shared" si="221"/>
        <v>0.51881554595928436</v>
      </c>
      <c r="CQ96" s="3">
        <f t="shared" si="221"/>
        <v>0.51881554595928436</v>
      </c>
      <c r="CR96" s="3">
        <f t="shared" si="221"/>
        <v>0.51881554595928436</v>
      </c>
      <c r="CS96" s="3">
        <f t="shared" si="221"/>
        <v>0.51881554595928436</v>
      </c>
      <c r="CT96" s="3">
        <f t="shared" si="221"/>
        <v>0.51881554595928436</v>
      </c>
      <c r="CU96" s="3">
        <f t="shared" si="221"/>
        <v>0.51881554595928436</v>
      </c>
      <c r="CW96" s="28"/>
      <c r="CX96" s="3">
        <f>(CX97*$C$23-AL96)/($C$22-$C$23*BR97)</f>
        <v>144.3553362122147</v>
      </c>
      <c r="CY96" s="3">
        <f t="shared" ref="CY96:EA96" si="222">(CY97*$C$23-AM96)/($C$22-$C$23*BS97)</f>
        <v>138.19838062178218</v>
      </c>
      <c r="CZ96" s="3">
        <f t="shared" si="222"/>
        <v>132.07524742195955</v>
      </c>
      <c r="DA96" s="3">
        <f t="shared" si="222"/>
        <v>126.01933688334144</v>
      </c>
      <c r="DB96" s="3">
        <f t="shared" si="222"/>
        <v>120.0632111958287</v>
      </c>
      <c r="DC96" s="3">
        <f t="shared" si="222"/>
        <v>114.23819069633815</v>
      </c>
      <c r="DD96" s="3">
        <f t="shared" si="222"/>
        <v>108.57396805777672</v>
      </c>
      <c r="DE96" s="3">
        <f t="shared" si="222"/>
        <v>103.09824583868803</v>
      </c>
      <c r="DF96" s="3">
        <f t="shared" si="222"/>
        <v>97.836402314611249</v>
      </c>
      <c r="DG96" s="3">
        <f t="shared" si="222"/>
        <v>92.811189944563665</v>
      </c>
      <c r="DH96" s="3">
        <f t="shared" si="222"/>
        <v>88.042470187345543</v>
      </c>
      <c r="DI96" s="3">
        <f t="shared" si="222"/>
        <v>83.546987692478382</v>
      </c>
      <c r="DJ96" s="3">
        <f t="shared" si="222"/>
        <v>79.338186170321748</v>
      </c>
      <c r="DK96" s="3">
        <f t="shared" si="222"/>
        <v>75.426067516048036</v>
      </c>
      <c r="DL96" s="3">
        <f t="shared" si="222"/>
        <v>71.817095042635557</v>
      </c>
      <c r="DM96" s="3">
        <f t="shared" si="222"/>
        <v>68.51414098717926</v>
      </c>
      <c r="DN96" s="3">
        <f t="shared" si="222"/>
        <v>65.516477808636125</v>
      </c>
      <c r="DO96" s="3">
        <f t="shared" si="222"/>
        <v>62.819812206803221</v>
      </c>
      <c r="DP96" s="3">
        <f t="shared" si="222"/>
        <v>60.416360271845221</v>
      </c>
      <c r="DQ96" s="3">
        <f t="shared" si="222"/>
        <v>58.294961727583036</v>
      </c>
      <c r="DR96" s="3">
        <f t="shared" si="222"/>
        <v>56.441230863091789</v>
      </c>
      <c r="DS96" s="3">
        <f t="shared" si="222"/>
        <v>54.837741455636021</v>
      </c>
      <c r="DT96" s="3">
        <f t="shared" si="222"/>
        <v>53.464242770195284</v>
      </c>
      <c r="DU96" s="3">
        <f t="shared" si="222"/>
        <v>52.297903570704442</v>
      </c>
      <c r="DV96" s="3">
        <f t="shared" si="222"/>
        <v>51.31358098734087</v>
      </c>
      <c r="DW96" s="3">
        <f t="shared" si="222"/>
        <v>50.484111042793266</v>
      </c>
      <c r="DX96" s="3">
        <f t="shared" si="222"/>
        <v>49.780617637490046</v>
      </c>
      <c r="DY96" s="3">
        <f t="shared" si="222"/>
        <v>49.172836817915233</v>
      </c>
      <c r="DZ96" s="3">
        <f t="shared" si="222"/>
        <v>48.629453192316888</v>
      </c>
      <c r="EA96" s="3">
        <f t="shared" si="222"/>
        <v>48.118445404071565</v>
      </c>
    </row>
    <row r="97" spans="5:131" x14ac:dyDescent="0.3">
      <c r="E97" s="27"/>
      <c r="F97" s="17">
        <v>300</v>
      </c>
      <c r="G97" s="17">
        <f t="shared" si="164"/>
        <v>287.20458331783192</v>
      </c>
      <c r="H97" s="17">
        <f t="shared" si="165"/>
        <v>274.47945650127747</v>
      </c>
      <c r="I97" s="17">
        <f t="shared" si="166"/>
        <v>261.89403216396983</v>
      </c>
      <c r="J97" s="17">
        <f t="shared" si="167"/>
        <v>249.51598121594657</v>
      </c>
      <c r="K97" s="17">
        <f t="shared" si="168"/>
        <v>237.41039374200531</v>
      </c>
      <c r="L97" s="17">
        <f t="shared" si="169"/>
        <v>225.63897720725134</v>
      </c>
      <c r="M97" s="17">
        <f t="shared" si="170"/>
        <v>214.25930321091448</v>
      </c>
      <c r="N97" s="17">
        <f t="shared" si="171"/>
        <v>203.32411301536516</v>
      </c>
      <c r="O97" s="17">
        <f t="shared" si="172"/>
        <v>192.88069089761245</v>
      </c>
      <c r="P97" s="17">
        <f t="shared" si="173"/>
        <v>182.97031304318858</v>
      </c>
      <c r="Q97" s="17">
        <f t="shared" si="174"/>
        <v>173.62777826859929</v>
      </c>
      <c r="R97" s="17">
        <f t="shared" si="175"/>
        <v>164.88102536165582</v>
      </c>
      <c r="S97" s="17">
        <f t="shared" si="176"/>
        <v>156.75084031219728</v>
      </c>
      <c r="T97" s="17">
        <f t="shared" si="177"/>
        <v>149.25065521040028</v>
      </c>
      <c r="U97" s="17">
        <f t="shared" si="178"/>
        <v>142.38643915412513</v>
      </c>
      <c r="V97" s="17">
        <f t="shared" si="179"/>
        <v>136.15668016384507</v>
      </c>
      <c r="W97" s="17">
        <f t="shared" si="180"/>
        <v>130.55245588106158</v>
      </c>
      <c r="X97" s="17">
        <f t="shared" si="181"/>
        <v>125.55758974443729</v>
      </c>
      <c r="Y97" s="17">
        <f t="shared" si="182"/>
        <v>121.14888841078474</v>
      </c>
      <c r="Z97" s="17">
        <f t="shared" si="183"/>
        <v>117.29645542188692</v>
      </c>
      <c r="AA97" s="17">
        <f t="shared" si="184"/>
        <v>113.96407551228972</v>
      </c>
      <c r="AB97" s="17">
        <f t="shared" si="185"/>
        <v>111.10966350062378</v>
      </c>
      <c r="AC97" s="17">
        <f t="shared" si="186"/>
        <v>108.68577139501525</v>
      </c>
      <c r="AD97" s="17">
        <f t="shared" si="187"/>
        <v>106.64014715446095</v>
      </c>
      <c r="AE97" s="17">
        <f t="shared" si="188"/>
        <v>104.91633846201009</v>
      </c>
      <c r="AF97" s="17">
        <f t="shared" si="189"/>
        <v>103.45433485945046</v>
      </c>
      <c r="AG97" s="17">
        <f t="shared" si="190"/>
        <v>102.19124164338535</v>
      </c>
      <c r="AH97" s="17">
        <f t="shared" si="191"/>
        <v>101.06197900608419</v>
      </c>
      <c r="AI97" s="17">
        <v>100</v>
      </c>
      <c r="AK97" s="28"/>
      <c r="AL97" s="3">
        <f t="shared" si="163"/>
        <v>-1076400000</v>
      </c>
      <c r="AM97" s="3">
        <f t="shared" si="198"/>
        <v>-1030490044.9443809</v>
      </c>
      <c r="AN97" s="3">
        <f t="shared" si="199"/>
        <v>-984832289.92658353</v>
      </c>
      <c r="AO97" s="3">
        <f t="shared" si="200"/>
        <v>-939675787.4043237</v>
      </c>
      <c r="AP97" s="3">
        <f t="shared" si="201"/>
        <v>-895263340.60281622</v>
      </c>
      <c r="AQ97" s="3">
        <f t="shared" si="202"/>
        <v>-851828492.746315</v>
      </c>
      <c r="AR97" s="3">
        <f t="shared" si="203"/>
        <v>-809592650.21961784</v>
      </c>
      <c r="AS97" s="3">
        <f t="shared" si="204"/>
        <v>-768762379.92076111</v>
      </c>
      <c r="AT97" s="3">
        <f t="shared" si="205"/>
        <v>-729526917.49913013</v>
      </c>
      <c r="AU97" s="3">
        <f t="shared" si="206"/>
        <v>-692055918.9406333</v>
      </c>
      <c r="AV97" s="3">
        <f t="shared" si="207"/>
        <v>-656497483.19896066</v>
      </c>
      <c r="AW97" s="3">
        <f t="shared" si="208"/>
        <v>-622976468.42773426</v>
      </c>
      <c r="AX97" s="3">
        <f t="shared" si="209"/>
        <v>-591593118.99762106</v>
      </c>
      <c r="AY97" s="3">
        <f t="shared" si="210"/>
        <v>-562422015.04016376</v>
      </c>
      <c r="AZ97" s="3">
        <f t="shared" si="211"/>
        <v>-535511350.89491624</v>
      </c>
      <c r="BA97" s="3">
        <f t="shared" si="212"/>
        <v>-510882543.68500084</v>
      </c>
      <c r="BB97" s="3">
        <f t="shared" si="213"/>
        <v>-488530168.42787611</v>
      </c>
      <c r="BC97" s="3">
        <f t="shared" si="214"/>
        <v>-468422211.70124882</v>
      </c>
      <c r="BD97" s="3">
        <f t="shared" si="215"/>
        <v>-450500632.00304103</v>
      </c>
      <c r="BE97" s="3">
        <f t="shared" si="216"/>
        <v>-434682211.6178956</v>
      </c>
      <c r="BF97" s="3">
        <f t="shared" si="217"/>
        <v>-420859682.05373019</v>
      </c>
      <c r="BG97" s="3">
        <f t="shared" si="218"/>
        <v>-408903102.93809551</v>
      </c>
      <c r="BH97" s="3">
        <f t="shared" si="219"/>
        <v>-398661472.64023811</v>
      </c>
      <c r="BI97" s="3">
        <f t="shared" si="220"/>
        <v>-389964547.7653147</v>
      </c>
      <c r="BJ97" s="3">
        <f t="shared" si="192"/>
        <v>-382624847.99020588</v>
      </c>
      <c r="BK97" s="3">
        <f t="shared" si="193"/>
        <v>-376439822.40169221</v>
      </c>
      <c r="BL97" s="3">
        <f t="shared" si="194"/>
        <v>-371194153.47570825</v>
      </c>
      <c r="BM97" s="3">
        <f t="shared" si="195"/>
        <v>-366662175.01646668</v>
      </c>
      <c r="BN97" s="3">
        <f t="shared" si="196"/>
        <v>-362610380.67383003</v>
      </c>
      <c r="BO97" s="3">
        <f t="shared" si="197"/>
        <v>-358800000</v>
      </c>
      <c r="BQ97" s="28"/>
      <c r="BR97" s="3">
        <v>1</v>
      </c>
      <c r="BS97" s="3">
        <v>1</v>
      </c>
      <c r="BT97" s="3">
        <v>1</v>
      </c>
      <c r="BU97" s="3">
        <v>1</v>
      </c>
      <c r="BV97" s="3">
        <v>1</v>
      </c>
      <c r="BW97" s="3">
        <v>1</v>
      </c>
      <c r="BX97" s="3">
        <v>1</v>
      </c>
      <c r="BY97" s="3">
        <v>1</v>
      </c>
      <c r="BZ97" s="3">
        <v>1</v>
      </c>
      <c r="CA97" s="3">
        <v>1</v>
      </c>
      <c r="CB97" s="3">
        <v>1</v>
      </c>
      <c r="CC97" s="3">
        <v>1</v>
      </c>
      <c r="CD97" s="3">
        <v>1</v>
      </c>
      <c r="CE97" s="3">
        <v>1</v>
      </c>
      <c r="CF97" s="3">
        <v>1</v>
      </c>
      <c r="CG97" s="3">
        <v>1</v>
      </c>
      <c r="CH97" s="3">
        <v>1</v>
      </c>
      <c r="CI97" s="3">
        <v>1</v>
      </c>
      <c r="CJ97" s="3">
        <v>1</v>
      </c>
      <c r="CK97" s="3">
        <v>1</v>
      </c>
      <c r="CL97" s="3">
        <v>1</v>
      </c>
      <c r="CM97" s="3">
        <v>1</v>
      </c>
      <c r="CN97" s="3">
        <v>1</v>
      </c>
      <c r="CO97" s="3">
        <v>1</v>
      </c>
      <c r="CP97" s="3">
        <v>1</v>
      </c>
      <c r="CQ97" s="3">
        <v>1</v>
      </c>
      <c r="CR97" s="3">
        <v>1</v>
      </c>
      <c r="CS97" s="3">
        <v>1</v>
      </c>
      <c r="CT97" s="3">
        <v>1</v>
      </c>
      <c r="CU97" s="3">
        <v>1</v>
      </c>
      <c r="CW97" s="28"/>
      <c r="CX97" s="3">
        <v>0</v>
      </c>
      <c r="CY97" s="3">
        <v>0</v>
      </c>
      <c r="CZ97" s="3">
        <v>0</v>
      </c>
      <c r="DA97" s="3">
        <v>0</v>
      </c>
      <c r="DB97" s="3">
        <v>0</v>
      </c>
      <c r="DC97" s="3">
        <v>0</v>
      </c>
      <c r="DD97" s="3">
        <v>0</v>
      </c>
      <c r="DE97" s="3">
        <v>0</v>
      </c>
      <c r="DF97" s="3">
        <v>0</v>
      </c>
      <c r="DG97" s="3">
        <v>0</v>
      </c>
      <c r="DH97" s="3">
        <v>0</v>
      </c>
      <c r="DI97" s="3">
        <v>0</v>
      </c>
      <c r="DJ97" s="3">
        <v>0</v>
      </c>
      <c r="DK97" s="3">
        <v>0</v>
      </c>
      <c r="DL97" s="3">
        <v>0</v>
      </c>
      <c r="DM97" s="3">
        <v>0</v>
      </c>
      <c r="DN97" s="3">
        <v>0</v>
      </c>
      <c r="DO97" s="3">
        <v>0</v>
      </c>
      <c r="DP97" s="3">
        <v>0</v>
      </c>
      <c r="DQ97" s="3">
        <v>0</v>
      </c>
      <c r="DR97" s="3">
        <v>0</v>
      </c>
      <c r="DS97" s="3">
        <v>0</v>
      </c>
      <c r="DT97" s="3">
        <v>0</v>
      </c>
      <c r="DU97" s="3">
        <v>0</v>
      </c>
      <c r="DV97" s="3">
        <v>0</v>
      </c>
      <c r="DW97" s="3">
        <v>0</v>
      </c>
      <c r="DX97" s="3">
        <v>0</v>
      </c>
      <c r="DY97" s="3">
        <v>0</v>
      </c>
      <c r="DZ97" s="3">
        <v>0</v>
      </c>
      <c r="EA97" s="3">
        <v>0</v>
      </c>
    </row>
  </sheetData>
  <mergeCells count="8">
    <mergeCell ref="E68:E97"/>
    <mergeCell ref="AK68:AK97"/>
    <mergeCell ref="BQ68:BQ97"/>
    <mergeCell ref="CW68:CW97"/>
    <mergeCell ref="AK36:AK66"/>
    <mergeCell ref="BQ36:BQ65"/>
    <mergeCell ref="E36:E66"/>
    <mergeCell ref="CW36:CW65"/>
  </mergeCells>
  <conditionalFormatting sqref="F4:AI3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ter2">
                <anchor moveWithCells="1">
                  <from>
                    <xdr:col>0</xdr:col>
                    <xdr:colOff>601980</xdr:colOff>
                    <xdr:row>23</xdr:row>
                    <xdr:rowOff>167640</xdr:rowOff>
                  </from>
                  <to>
                    <xdr:col>2</xdr:col>
                    <xdr:colOff>1104900</xdr:colOff>
                    <xdr:row>30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Sheet1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Малютин Артём</dc:creator>
  <cp:lastModifiedBy>user</cp:lastModifiedBy>
  <dcterms:created xsi:type="dcterms:W3CDTF">2015-06-05T18:17:20Z</dcterms:created>
  <dcterms:modified xsi:type="dcterms:W3CDTF">2021-04-17T19:23:32Z</dcterms:modified>
</cp:coreProperties>
</file>
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ЭтаКнига"/>
  <bookViews>
    <workbookView xWindow="0" yWindow="0" windowWidth="23256" windowHeight="13176"/>
  </bookViews>
  <sheets>
    <sheet name="Лист 1" sheetId="1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104" i="1" l="1"/>
  <c r="G104" i="1"/>
  <c r="AK103" i="1"/>
  <c r="G103" i="1"/>
  <c r="AK102" i="1"/>
  <c r="G102" i="1"/>
  <c r="AK101" i="1"/>
  <c r="G101" i="1"/>
  <c r="AK100" i="1"/>
  <c r="G100" i="1"/>
  <c r="AK99" i="1"/>
  <c r="G99" i="1"/>
  <c r="AK98" i="1"/>
  <c r="G98" i="1"/>
  <c r="AK97" i="1"/>
  <c r="G97" i="1"/>
  <c r="AK96" i="1"/>
  <c r="G96" i="1"/>
  <c r="AK95" i="1"/>
  <c r="G95" i="1"/>
  <c r="AK94" i="1"/>
  <c r="G94" i="1"/>
  <c r="AK93" i="1"/>
  <c r="G93" i="1"/>
  <c r="AK92" i="1"/>
  <c r="G92" i="1"/>
  <c r="AK91" i="1"/>
  <c r="G91" i="1"/>
  <c r="AK90" i="1"/>
  <c r="G90" i="1"/>
  <c r="AK89" i="1"/>
  <c r="G89" i="1"/>
  <c r="AK88" i="1"/>
  <c r="G88" i="1"/>
  <c r="AK87" i="1"/>
  <c r="G87" i="1"/>
  <c r="AK86" i="1"/>
  <c r="G86" i="1"/>
  <c r="AK85" i="1"/>
  <c r="G85" i="1"/>
  <c r="AK84" i="1"/>
  <c r="G84" i="1"/>
  <c r="AK83" i="1"/>
  <c r="G83" i="1"/>
  <c r="AK82" i="1"/>
  <c r="G82" i="1"/>
  <c r="AK81" i="1"/>
  <c r="G81" i="1"/>
  <c r="AK80" i="1"/>
  <c r="G80" i="1"/>
  <c r="AK79" i="1"/>
  <c r="G79" i="1"/>
  <c r="AK78" i="1"/>
  <c r="G78" i="1"/>
  <c r="AK77" i="1"/>
  <c r="G77" i="1"/>
  <c r="AK76" i="1"/>
  <c r="G76" i="1"/>
  <c r="AK75" i="1"/>
  <c r="G75" i="1"/>
  <c r="AK74" i="1"/>
  <c r="G74" i="1"/>
  <c r="CZ69" i="1"/>
  <c r="BQ69" i="1"/>
  <c r="BP69" i="1"/>
  <c r="BO69" i="1"/>
  <c r="BN69" i="1"/>
  <c r="BM69" i="1"/>
  <c r="BL69" i="1"/>
  <c r="BK69" i="1"/>
  <c r="BJ69" i="1"/>
  <c r="BI69" i="1"/>
  <c r="BH69" i="1"/>
  <c r="BG69" i="1"/>
  <c r="BF69" i="1"/>
  <c r="BE69" i="1"/>
  <c r="BD69" i="1"/>
  <c r="BC69" i="1"/>
  <c r="BB69" i="1"/>
  <c r="BA69" i="1"/>
  <c r="AZ69" i="1"/>
  <c r="AY69" i="1"/>
  <c r="AX69" i="1"/>
  <c r="AW69" i="1"/>
  <c r="AV69" i="1"/>
  <c r="AU69" i="1"/>
  <c r="AT69" i="1"/>
  <c r="AS69" i="1"/>
  <c r="AR69" i="1"/>
  <c r="AQ69" i="1"/>
  <c r="AP69" i="1"/>
  <c r="AO69" i="1"/>
  <c r="AK69" i="1"/>
  <c r="BR104" i="1" s="1"/>
  <c r="G69" i="1"/>
  <c r="AN104" i="1" s="1"/>
  <c r="CZ68" i="1"/>
  <c r="BQ68" i="1"/>
  <c r="BP68" i="1"/>
  <c r="BO68" i="1"/>
  <c r="BN68" i="1"/>
  <c r="BM68" i="1"/>
  <c r="BL68" i="1"/>
  <c r="BK68" i="1"/>
  <c r="BJ68" i="1"/>
  <c r="BI68" i="1"/>
  <c r="BH68" i="1"/>
  <c r="BG68" i="1"/>
  <c r="BF68" i="1"/>
  <c r="BE68" i="1"/>
  <c r="BD68" i="1"/>
  <c r="BC68" i="1"/>
  <c r="BB68" i="1"/>
  <c r="BA68" i="1"/>
  <c r="AZ68" i="1"/>
  <c r="AY68" i="1"/>
  <c r="AX68" i="1"/>
  <c r="AW68" i="1"/>
  <c r="AV68" i="1"/>
  <c r="AU68" i="1"/>
  <c r="AT68" i="1"/>
  <c r="AS68" i="1"/>
  <c r="AR68" i="1"/>
  <c r="AQ68" i="1"/>
  <c r="AP68" i="1"/>
  <c r="AO68" i="1"/>
  <c r="AK68" i="1"/>
  <c r="BR103" i="1" s="1"/>
  <c r="G68" i="1"/>
  <c r="AN103" i="1" s="1"/>
  <c r="CZ67" i="1"/>
  <c r="BQ67" i="1"/>
  <c r="BP67" i="1"/>
  <c r="BO67" i="1"/>
  <c r="BN67" i="1"/>
  <c r="BM67" i="1"/>
  <c r="BL67" i="1"/>
  <c r="BK67" i="1"/>
  <c r="BJ67" i="1"/>
  <c r="BI67" i="1"/>
  <c r="BH67" i="1"/>
  <c r="BG67" i="1"/>
  <c r="BF67" i="1"/>
  <c r="BE67" i="1"/>
  <c r="BD67" i="1"/>
  <c r="BC67" i="1"/>
  <c r="BB67" i="1"/>
  <c r="BA67" i="1"/>
  <c r="AZ67" i="1"/>
  <c r="AY67" i="1"/>
  <c r="AX67" i="1"/>
  <c r="AW67" i="1"/>
  <c r="AV67" i="1"/>
  <c r="AU67" i="1"/>
  <c r="AT67" i="1"/>
  <c r="AS67" i="1"/>
  <c r="AR67" i="1"/>
  <c r="AQ67" i="1"/>
  <c r="AP67" i="1"/>
  <c r="AO67" i="1"/>
  <c r="AK67" i="1"/>
  <c r="BR102" i="1" s="1"/>
  <c r="G67" i="1"/>
  <c r="AN102" i="1" s="1"/>
  <c r="CZ66" i="1"/>
  <c r="BQ66" i="1"/>
  <c r="BP66" i="1"/>
  <c r="BO66" i="1"/>
  <c r="BN66" i="1"/>
  <c r="BM66" i="1"/>
  <c r="BL66" i="1"/>
  <c r="BK66" i="1"/>
  <c r="BJ66" i="1"/>
  <c r="BI66" i="1"/>
  <c r="BH66" i="1"/>
  <c r="BG66" i="1"/>
  <c r="BF66" i="1"/>
  <c r="BE66" i="1"/>
  <c r="BD66" i="1"/>
  <c r="BC66" i="1"/>
  <c r="BB66" i="1"/>
  <c r="BA66" i="1"/>
  <c r="AZ66" i="1"/>
  <c r="AY66" i="1"/>
  <c r="AX66" i="1"/>
  <c r="AW66" i="1"/>
  <c r="AV66" i="1"/>
  <c r="AU66" i="1"/>
  <c r="AT66" i="1"/>
  <c r="AS66" i="1"/>
  <c r="AR66" i="1"/>
  <c r="AQ66" i="1"/>
  <c r="AP66" i="1"/>
  <c r="AO66" i="1"/>
  <c r="AK66" i="1"/>
  <c r="BR101" i="1" s="1"/>
  <c r="G66" i="1"/>
  <c r="AN101" i="1" s="1"/>
  <c r="CZ65" i="1"/>
  <c r="BQ65" i="1"/>
  <c r="BP65" i="1"/>
  <c r="BO65" i="1"/>
  <c r="BN65" i="1"/>
  <c r="BM65" i="1"/>
  <c r="BL65" i="1"/>
  <c r="BK65" i="1"/>
  <c r="BJ65" i="1"/>
  <c r="BI65" i="1"/>
  <c r="BH65" i="1"/>
  <c r="BG65" i="1"/>
  <c r="BF65" i="1"/>
  <c r="BE65" i="1"/>
  <c r="BD65" i="1"/>
  <c r="BC65" i="1"/>
  <c r="BB65" i="1"/>
  <c r="BA65" i="1"/>
  <c r="AZ65" i="1"/>
  <c r="AY65" i="1"/>
  <c r="AX65" i="1"/>
  <c r="AW65" i="1"/>
  <c r="AV65" i="1"/>
  <c r="AU65" i="1"/>
  <c r="AT65" i="1"/>
  <c r="AS65" i="1"/>
  <c r="AR65" i="1"/>
  <c r="AQ65" i="1"/>
  <c r="AP65" i="1"/>
  <c r="AO65" i="1"/>
  <c r="AK65" i="1"/>
  <c r="BR100" i="1" s="1"/>
  <c r="G65" i="1"/>
  <c r="AN100" i="1" s="1"/>
  <c r="CZ64" i="1"/>
  <c r="BQ64" i="1"/>
  <c r="BP64" i="1"/>
  <c r="BO64" i="1"/>
  <c r="BN64" i="1"/>
  <c r="BM64" i="1"/>
  <c r="BL64" i="1"/>
  <c r="BK64" i="1"/>
  <c r="BJ64" i="1"/>
  <c r="BI64" i="1"/>
  <c r="BH64" i="1"/>
  <c r="BG64" i="1"/>
  <c r="BF64" i="1"/>
  <c r="BE64" i="1"/>
  <c r="BD64" i="1"/>
  <c r="BC64" i="1"/>
  <c r="BB64" i="1"/>
  <c r="BA64" i="1"/>
  <c r="AZ64" i="1"/>
  <c r="AY64" i="1"/>
  <c r="AX64" i="1"/>
  <c r="AW64" i="1"/>
  <c r="AV64" i="1"/>
  <c r="AU64" i="1"/>
  <c r="AT64" i="1"/>
  <c r="AS64" i="1"/>
  <c r="AR64" i="1"/>
  <c r="AQ64" i="1"/>
  <c r="AP64" i="1"/>
  <c r="AO64" i="1"/>
  <c r="AK64" i="1"/>
  <c r="BR99" i="1" s="1"/>
  <c r="G64" i="1"/>
  <c r="AN99" i="1" s="1"/>
  <c r="CZ63" i="1"/>
  <c r="BQ63" i="1"/>
  <c r="BP63" i="1"/>
  <c r="BO63" i="1"/>
  <c r="BN63" i="1"/>
  <c r="BM63" i="1"/>
  <c r="BL63" i="1"/>
  <c r="BK63" i="1"/>
  <c r="BJ63" i="1"/>
  <c r="BI63" i="1"/>
  <c r="BH63" i="1"/>
  <c r="BG63" i="1"/>
  <c r="BF63" i="1"/>
  <c r="BE63" i="1"/>
  <c r="BD63" i="1"/>
  <c r="BC63" i="1"/>
  <c r="BB63" i="1"/>
  <c r="BA63" i="1"/>
  <c r="AZ63" i="1"/>
  <c r="AY63" i="1"/>
  <c r="AX63" i="1"/>
  <c r="AW63" i="1"/>
  <c r="AV63" i="1"/>
  <c r="AU63" i="1"/>
  <c r="AT63" i="1"/>
  <c r="AS63" i="1"/>
  <c r="AR63" i="1"/>
  <c r="AQ63" i="1"/>
  <c r="AP63" i="1"/>
  <c r="AO63" i="1"/>
  <c r="AK63" i="1"/>
  <c r="BR98" i="1" s="1"/>
  <c r="G63" i="1"/>
  <c r="AN98" i="1" s="1"/>
  <c r="CZ62" i="1"/>
  <c r="BQ62" i="1"/>
  <c r="BP62" i="1"/>
  <c r="BO62" i="1"/>
  <c r="BN62" i="1"/>
  <c r="BM62" i="1"/>
  <c r="BL62" i="1"/>
  <c r="BK62" i="1"/>
  <c r="BJ62" i="1"/>
  <c r="BI62" i="1"/>
  <c r="BH62" i="1"/>
  <c r="BG62" i="1"/>
  <c r="BF62" i="1"/>
  <c r="BE62" i="1"/>
  <c r="BD62" i="1"/>
  <c r="BC62" i="1"/>
  <c r="BB62" i="1"/>
  <c r="BA62" i="1"/>
  <c r="AZ62" i="1"/>
  <c r="AY62" i="1"/>
  <c r="AX62" i="1"/>
  <c r="AW62" i="1"/>
  <c r="AV62" i="1"/>
  <c r="AU62" i="1"/>
  <c r="AT62" i="1"/>
  <c r="AS62" i="1"/>
  <c r="AR62" i="1"/>
  <c r="AQ62" i="1"/>
  <c r="AP62" i="1"/>
  <c r="AO62" i="1"/>
  <c r="AK62" i="1"/>
  <c r="BR97" i="1" s="1"/>
  <c r="G62" i="1"/>
  <c r="AN97" i="1" s="1"/>
  <c r="CZ61" i="1"/>
  <c r="BQ61" i="1"/>
  <c r="BP61" i="1"/>
  <c r="BO61" i="1"/>
  <c r="BN61" i="1"/>
  <c r="BM61" i="1"/>
  <c r="BL61" i="1"/>
  <c r="BK61" i="1"/>
  <c r="BJ61" i="1"/>
  <c r="BI61" i="1"/>
  <c r="BH61" i="1"/>
  <c r="BG61" i="1"/>
  <c r="BF61" i="1"/>
  <c r="BE61" i="1"/>
  <c r="BD61" i="1"/>
  <c r="BC61" i="1"/>
  <c r="BB61" i="1"/>
  <c r="BA61" i="1"/>
  <c r="AZ61" i="1"/>
  <c r="AY61" i="1"/>
  <c r="AX61" i="1"/>
  <c r="AW61" i="1"/>
  <c r="AV61" i="1"/>
  <c r="AU61" i="1"/>
  <c r="AT61" i="1"/>
  <c r="AS61" i="1"/>
  <c r="AR61" i="1"/>
  <c r="AQ61" i="1"/>
  <c r="AP61" i="1"/>
  <c r="AO61" i="1"/>
  <c r="AK61" i="1"/>
  <c r="BR96" i="1" s="1"/>
  <c r="G61" i="1"/>
  <c r="AN96" i="1" s="1"/>
  <c r="CZ60" i="1"/>
  <c r="BQ60" i="1"/>
  <c r="BP60" i="1"/>
  <c r="BO60" i="1"/>
  <c r="BN60" i="1"/>
  <c r="BM60" i="1"/>
  <c r="BL60" i="1"/>
  <c r="BK60" i="1"/>
  <c r="BJ60" i="1"/>
  <c r="BI60" i="1"/>
  <c r="BH60" i="1"/>
  <c r="BG60" i="1"/>
  <c r="BF60" i="1"/>
  <c r="BE60" i="1"/>
  <c r="BD60" i="1"/>
  <c r="BC60" i="1"/>
  <c r="BB60" i="1"/>
  <c r="BA60" i="1"/>
  <c r="AZ60" i="1"/>
  <c r="AY60" i="1"/>
  <c r="AX60" i="1"/>
  <c r="AW60" i="1"/>
  <c r="AV60" i="1"/>
  <c r="AU60" i="1"/>
  <c r="AT60" i="1"/>
  <c r="AS60" i="1"/>
  <c r="AR60" i="1"/>
  <c r="AQ60" i="1"/>
  <c r="AP60" i="1"/>
  <c r="AO60" i="1"/>
  <c r="AK60" i="1"/>
  <c r="BR95" i="1" s="1"/>
  <c r="G60" i="1"/>
  <c r="AN95" i="1" s="1"/>
  <c r="CZ59" i="1"/>
  <c r="BQ59" i="1"/>
  <c r="BP59" i="1"/>
  <c r="BO59" i="1"/>
  <c r="BN59" i="1"/>
  <c r="BM59" i="1"/>
  <c r="BL59" i="1"/>
  <c r="BK59" i="1"/>
  <c r="BJ59" i="1"/>
  <c r="BI59" i="1"/>
  <c r="BH59" i="1"/>
  <c r="BG59" i="1"/>
  <c r="BF59" i="1"/>
  <c r="BE59" i="1"/>
  <c r="BD59" i="1"/>
  <c r="BC59" i="1"/>
  <c r="BB59" i="1"/>
  <c r="BA59" i="1"/>
  <c r="AZ59" i="1"/>
  <c r="AY59" i="1"/>
  <c r="AX59" i="1"/>
  <c r="AW59" i="1"/>
  <c r="AV59" i="1"/>
  <c r="AU59" i="1"/>
  <c r="AT59" i="1"/>
  <c r="AS59" i="1"/>
  <c r="AR59" i="1"/>
  <c r="AQ59" i="1"/>
  <c r="AP59" i="1"/>
  <c r="AO59" i="1"/>
  <c r="AK59" i="1"/>
  <c r="BR94" i="1" s="1"/>
  <c r="G59" i="1"/>
  <c r="AN94" i="1" s="1"/>
  <c r="CZ58" i="1"/>
  <c r="BQ58" i="1"/>
  <c r="BP58" i="1"/>
  <c r="BO58" i="1"/>
  <c r="BN58" i="1"/>
  <c r="BM58" i="1"/>
  <c r="BL58" i="1"/>
  <c r="BK58" i="1"/>
  <c r="BJ58" i="1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K58" i="1"/>
  <c r="BR93" i="1" s="1"/>
  <c r="G58" i="1"/>
  <c r="AN93" i="1" s="1"/>
  <c r="CZ57" i="1"/>
  <c r="BQ57" i="1"/>
  <c r="BP57" i="1"/>
  <c r="BO57" i="1"/>
  <c r="BN57" i="1"/>
  <c r="BM57" i="1"/>
  <c r="BL57" i="1"/>
  <c r="BK57" i="1"/>
  <c r="BJ57" i="1"/>
  <c r="BI57" i="1"/>
  <c r="BH57" i="1"/>
  <c r="BG57" i="1"/>
  <c r="BF57" i="1"/>
  <c r="BE57" i="1"/>
  <c r="BD57" i="1"/>
  <c r="BC57" i="1"/>
  <c r="BB57" i="1"/>
  <c r="BA57" i="1"/>
  <c r="AZ57" i="1"/>
  <c r="AY57" i="1"/>
  <c r="AX57" i="1"/>
  <c r="AW57" i="1"/>
  <c r="AV57" i="1"/>
  <c r="AU57" i="1"/>
  <c r="AT57" i="1"/>
  <c r="AS57" i="1"/>
  <c r="AR57" i="1"/>
  <c r="AQ57" i="1"/>
  <c r="AP57" i="1"/>
  <c r="AO57" i="1"/>
  <c r="AK57" i="1"/>
  <c r="BR92" i="1" s="1"/>
  <c r="G57" i="1"/>
  <c r="AN92" i="1" s="1"/>
  <c r="CZ56" i="1"/>
  <c r="BR56" i="1"/>
  <c r="BQ56" i="1"/>
  <c r="BP56" i="1"/>
  <c r="BO56" i="1"/>
  <c r="BN56" i="1"/>
  <c r="BM56" i="1"/>
  <c r="BL56" i="1"/>
  <c r="BK56" i="1"/>
  <c r="BJ56" i="1"/>
  <c r="BI56" i="1"/>
  <c r="BH56" i="1"/>
  <c r="BG56" i="1"/>
  <c r="BF56" i="1"/>
  <c r="BE56" i="1"/>
  <c r="BD56" i="1"/>
  <c r="BC56" i="1"/>
  <c r="BB56" i="1"/>
  <c r="BA56" i="1"/>
  <c r="AZ56" i="1"/>
  <c r="AY56" i="1"/>
  <c r="AX56" i="1"/>
  <c r="AW56" i="1"/>
  <c r="AV56" i="1"/>
  <c r="AU56" i="1"/>
  <c r="AT56" i="1"/>
  <c r="AS56" i="1"/>
  <c r="AR56" i="1"/>
  <c r="AQ56" i="1"/>
  <c r="AP56" i="1"/>
  <c r="AO56" i="1"/>
  <c r="AK56" i="1"/>
  <c r="BR91" i="1" s="1"/>
  <c r="G56" i="1"/>
  <c r="AN91" i="1" s="1"/>
  <c r="CZ55" i="1"/>
  <c r="BQ55" i="1"/>
  <c r="BP55" i="1"/>
  <c r="BO55" i="1"/>
  <c r="BN55" i="1"/>
  <c r="BM55" i="1"/>
  <c r="BL55" i="1"/>
  <c r="BK55" i="1"/>
  <c r="BJ55" i="1"/>
  <c r="BI55" i="1"/>
  <c r="BH55" i="1"/>
  <c r="BG55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K55" i="1"/>
  <c r="BR90" i="1" s="1"/>
  <c r="G55" i="1"/>
  <c r="AN90" i="1" s="1"/>
  <c r="CZ54" i="1"/>
  <c r="BQ54" i="1"/>
  <c r="BP54" i="1"/>
  <c r="BO54" i="1"/>
  <c r="BN54" i="1"/>
  <c r="BM54" i="1"/>
  <c r="BL54" i="1"/>
  <c r="BK54" i="1"/>
  <c r="BJ54" i="1"/>
  <c r="BI54" i="1"/>
  <c r="BH54" i="1"/>
  <c r="BG54" i="1"/>
  <c r="BF54" i="1"/>
  <c r="BE54" i="1"/>
  <c r="BD54" i="1"/>
  <c r="BC54" i="1"/>
  <c r="BB54" i="1"/>
  <c r="BA54" i="1"/>
  <c r="AZ54" i="1"/>
  <c r="AY54" i="1"/>
  <c r="AX54" i="1"/>
  <c r="AW54" i="1"/>
  <c r="AV54" i="1"/>
  <c r="AU54" i="1"/>
  <c r="AT54" i="1"/>
  <c r="AS54" i="1"/>
  <c r="AR54" i="1"/>
  <c r="AQ54" i="1"/>
  <c r="AP54" i="1"/>
  <c r="AO54" i="1"/>
  <c r="AK54" i="1"/>
  <c r="BR89" i="1" s="1"/>
  <c r="G54" i="1"/>
  <c r="AN89" i="1" s="1"/>
  <c r="DD53" i="1"/>
  <c r="CZ53" i="1"/>
  <c r="BQ53" i="1"/>
  <c r="BP53" i="1"/>
  <c r="BO53" i="1"/>
  <c r="BN53" i="1"/>
  <c r="BM53" i="1"/>
  <c r="BL53" i="1"/>
  <c r="BK53" i="1"/>
  <c r="BJ53" i="1"/>
  <c r="BI53" i="1"/>
  <c r="BH53" i="1"/>
  <c r="BG53" i="1"/>
  <c r="BF53" i="1"/>
  <c r="BE53" i="1"/>
  <c r="BD53" i="1"/>
  <c r="BC53" i="1"/>
  <c r="BB53" i="1"/>
  <c r="BA53" i="1"/>
  <c r="AZ53" i="1"/>
  <c r="AY53" i="1"/>
  <c r="AX53" i="1"/>
  <c r="AW53" i="1"/>
  <c r="AV53" i="1"/>
  <c r="AU53" i="1"/>
  <c r="AT53" i="1"/>
  <c r="AS53" i="1"/>
  <c r="AR53" i="1"/>
  <c r="AQ53" i="1"/>
  <c r="AP53" i="1"/>
  <c r="AO53" i="1"/>
  <c r="AK53" i="1"/>
  <c r="BR88" i="1" s="1"/>
  <c r="G53" i="1"/>
  <c r="AN88" i="1" s="1"/>
  <c r="CZ52" i="1"/>
  <c r="BQ52" i="1"/>
  <c r="BP52" i="1"/>
  <c r="BO52" i="1"/>
  <c r="BN52" i="1"/>
  <c r="BM52" i="1"/>
  <c r="BL52" i="1"/>
  <c r="BK52" i="1"/>
  <c r="BJ52" i="1"/>
  <c r="BI52" i="1"/>
  <c r="BH52" i="1"/>
  <c r="BG52" i="1"/>
  <c r="BF52" i="1"/>
  <c r="BE52" i="1"/>
  <c r="BD52" i="1"/>
  <c r="BC52" i="1"/>
  <c r="BB52" i="1"/>
  <c r="BA52" i="1"/>
  <c r="AZ52" i="1"/>
  <c r="AY52" i="1"/>
  <c r="AX52" i="1"/>
  <c r="AW52" i="1"/>
  <c r="AV52" i="1"/>
  <c r="AU52" i="1"/>
  <c r="AT52" i="1"/>
  <c r="AS52" i="1"/>
  <c r="AR52" i="1"/>
  <c r="AQ52" i="1"/>
  <c r="AP52" i="1"/>
  <c r="AO52" i="1"/>
  <c r="AN52" i="1"/>
  <c r="AK52" i="1"/>
  <c r="BR87" i="1" s="1"/>
  <c r="G52" i="1"/>
  <c r="AN87" i="1" s="1"/>
  <c r="CZ51" i="1"/>
  <c r="BQ51" i="1"/>
  <c r="BP51" i="1"/>
  <c r="BO51" i="1"/>
  <c r="BN51" i="1"/>
  <c r="BM51" i="1"/>
  <c r="BL51" i="1"/>
  <c r="BK51" i="1"/>
  <c r="BJ51" i="1"/>
  <c r="BI51" i="1"/>
  <c r="BH51" i="1"/>
  <c r="BG51" i="1"/>
  <c r="BF51" i="1"/>
  <c r="BE51" i="1"/>
  <c r="BD51" i="1"/>
  <c r="BC51" i="1"/>
  <c r="BB51" i="1"/>
  <c r="BA51" i="1"/>
  <c r="AZ51" i="1"/>
  <c r="AY51" i="1"/>
  <c r="AX51" i="1"/>
  <c r="AW51" i="1"/>
  <c r="AV51" i="1"/>
  <c r="AU51" i="1"/>
  <c r="AT51" i="1"/>
  <c r="AS51" i="1"/>
  <c r="AR51" i="1"/>
  <c r="AQ51" i="1"/>
  <c r="AP51" i="1"/>
  <c r="AO51" i="1"/>
  <c r="AK51" i="1"/>
  <c r="BR86" i="1" s="1"/>
  <c r="G51" i="1"/>
  <c r="AN86" i="1" s="1"/>
  <c r="CZ50" i="1"/>
  <c r="BQ50" i="1"/>
  <c r="BP50" i="1"/>
  <c r="BO50" i="1"/>
  <c r="BN50" i="1"/>
  <c r="BM50" i="1"/>
  <c r="BL50" i="1"/>
  <c r="BK50" i="1"/>
  <c r="BJ50" i="1"/>
  <c r="BI50" i="1"/>
  <c r="BH50" i="1"/>
  <c r="BG50" i="1"/>
  <c r="BF50" i="1"/>
  <c r="BE50" i="1"/>
  <c r="BD50" i="1"/>
  <c r="BC50" i="1"/>
  <c r="BB50" i="1"/>
  <c r="BA50" i="1"/>
  <c r="AZ50" i="1"/>
  <c r="AY50" i="1"/>
  <c r="AX50" i="1"/>
  <c r="AW50" i="1"/>
  <c r="AV50" i="1"/>
  <c r="AU50" i="1"/>
  <c r="AT50" i="1"/>
  <c r="AS50" i="1"/>
  <c r="AR50" i="1"/>
  <c r="AQ50" i="1"/>
  <c r="AP50" i="1"/>
  <c r="AO50" i="1"/>
  <c r="AK50" i="1"/>
  <c r="BR85" i="1" s="1"/>
  <c r="G50" i="1"/>
  <c r="AN85" i="1" s="1"/>
  <c r="CZ49" i="1"/>
  <c r="BQ49" i="1"/>
  <c r="BP49" i="1"/>
  <c r="BO49" i="1"/>
  <c r="BN49" i="1"/>
  <c r="BM49" i="1"/>
  <c r="BL49" i="1"/>
  <c r="BK49" i="1"/>
  <c r="BJ49" i="1"/>
  <c r="BI49" i="1"/>
  <c r="BH49" i="1"/>
  <c r="BG49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P49" i="1"/>
  <c r="AO49" i="1"/>
  <c r="AK49" i="1"/>
  <c r="BR84" i="1" s="1"/>
  <c r="G49" i="1"/>
  <c r="AN84" i="1" s="1"/>
  <c r="CZ48" i="1"/>
  <c r="BQ48" i="1"/>
  <c r="BP48" i="1"/>
  <c r="BO48" i="1"/>
  <c r="BN48" i="1"/>
  <c r="BM48" i="1"/>
  <c r="BL48" i="1"/>
  <c r="BK48" i="1"/>
  <c r="BJ48" i="1"/>
  <c r="BI48" i="1"/>
  <c r="BH48" i="1"/>
  <c r="BG48" i="1"/>
  <c r="BF48" i="1"/>
  <c r="BE48" i="1"/>
  <c r="BD48" i="1"/>
  <c r="BC48" i="1"/>
  <c r="BB48" i="1"/>
  <c r="BA48" i="1"/>
  <c r="AZ48" i="1"/>
  <c r="AY48" i="1"/>
  <c r="AX48" i="1"/>
  <c r="AW48" i="1"/>
  <c r="AV48" i="1"/>
  <c r="AU48" i="1"/>
  <c r="AT48" i="1"/>
  <c r="AS48" i="1"/>
  <c r="AR48" i="1"/>
  <c r="AQ48" i="1"/>
  <c r="AP48" i="1"/>
  <c r="AO48" i="1"/>
  <c r="AK48" i="1"/>
  <c r="BR83" i="1" s="1"/>
  <c r="G48" i="1"/>
  <c r="AN83" i="1" s="1"/>
  <c r="CZ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K47" i="1"/>
  <c r="BR82" i="1" s="1"/>
  <c r="G47" i="1"/>
  <c r="AN82" i="1" s="1"/>
  <c r="CZ46" i="1"/>
  <c r="BQ46" i="1"/>
  <c r="BP46" i="1"/>
  <c r="BO46" i="1"/>
  <c r="BN46" i="1"/>
  <c r="BM46" i="1"/>
  <c r="BL46" i="1"/>
  <c r="BK46" i="1"/>
  <c r="BJ46" i="1"/>
  <c r="BI46" i="1"/>
  <c r="BH46" i="1"/>
  <c r="BG46" i="1"/>
  <c r="BF46" i="1"/>
  <c r="BE46" i="1"/>
  <c r="BD46" i="1"/>
  <c r="BC46" i="1"/>
  <c r="BB46" i="1"/>
  <c r="BA46" i="1"/>
  <c r="AZ46" i="1"/>
  <c r="AY46" i="1"/>
  <c r="AX46" i="1"/>
  <c r="AW46" i="1"/>
  <c r="AV46" i="1"/>
  <c r="AU46" i="1"/>
  <c r="AT46" i="1"/>
  <c r="AS46" i="1"/>
  <c r="AR46" i="1"/>
  <c r="AQ46" i="1"/>
  <c r="AP46" i="1"/>
  <c r="AO46" i="1"/>
  <c r="AK46" i="1"/>
  <c r="BR81" i="1" s="1"/>
  <c r="G46" i="1"/>
  <c r="AN81" i="1" s="1"/>
  <c r="CZ45" i="1"/>
  <c r="BQ45" i="1"/>
  <c r="BP45" i="1"/>
  <c r="BO45" i="1"/>
  <c r="BN45" i="1"/>
  <c r="BM45" i="1"/>
  <c r="BL45" i="1"/>
  <c r="BK45" i="1"/>
  <c r="BJ45" i="1"/>
  <c r="BI45" i="1"/>
  <c r="BH45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N45" i="1"/>
  <c r="AK45" i="1"/>
  <c r="BR80" i="1" s="1"/>
  <c r="G45" i="1"/>
  <c r="AN80" i="1" s="1"/>
  <c r="CZ44" i="1"/>
  <c r="BQ44" i="1"/>
  <c r="BP44" i="1"/>
  <c r="BO44" i="1"/>
  <c r="BN44" i="1"/>
  <c r="BM44" i="1"/>
  <c r="BL44" i="1"/>
  <c r="BK44" i="1"/>
  <c r="BJ44" i="1"/>
  <c r="BI44" i="1"/>
  <c r="BH44" i="1"/>
  <c r="BG44" i="1"/>
  <c r="BF44" i="1"/>
  <c r="BE44" i="1"/>
  <c r="BD44" i="1"/>
  <c r="BC44" i="1"/>
  <c r="BB44" i="1"/>
  <c r="BA44" i="1"/>
  <c r="AZ44" i="1"/>
  <c r="AY44" i="1"/>
  <c r="AX44" i="1"/>
  <c r="AW44" i="1"/>
  <c r="AV44" i="1"/>
  <c r="AU44" i="1"/>
  <c r="AT44" i="1"/>
  <c r="AS44" i="1"/>
  <c r="AR44" i="1"/>
  <c r="AQ44" i="1"/>
  <c r="AP44" i="1"/>
  <c r="AO44" i="1"/>
  <c r="AK44" i="1"/>
  <c r="BR79" i="1" s="1"/>
  <c r="G44" i="1"/>
  <c r="AN79" i="1" s="1"/>
  <c r="CZ43" i="1"/>
  <c r="BQ43" i="1"/>
  <c r="BP43" i="1"/>
  <c r="BO43" i="1"/>
  <c r="BN43" i="1"/>
  <c r="BM43" i="1"/>
  <c r="BL43" i="1"/>
  <c r="BK43" i="1"/>
  <c r="BJ43" i="1"/>
  <c r="BI43" i="1"/>
  <c r="BH43" i="1"/>
  <c r="BG43" i="1"/>
  <c r="BF43" i="1"/>
  <c r="BE43" i="1"/>
  <c r="BD43" i="1"/>
  <c r="BC43" i="1"/>
  <c r="BB43" i="1"/>
  <c r="BA43" i="1"/>
  <c r="AZ43" i="1"/>
  <c r="AY43" i="1"/>
  <c r="AX43" i="1"/>
  <c r="AW43" i="1"/>
  <c r="AV43" i="1"/>
  <c r="AU43" i="1"/>
  <c r="AT43" i="1"/>
  <c r="AS43" i="1"/>
  <c r="AR43" i="1"/>
  <c r="AQ43" i="1"/>
  <c r="AP43" i="1"/>
  <c r="AO43" i="1"/>
  <c r="AK43" i="1"/>
  <c r="BR78" i="1" s="1"/>
  <c r="G43" i="1"/>
  <c r="AN78" i="1" s="1"/>
  <c r="CZ42" i="1"/>
  <c r="BQ42" i="1"/>
  <c r="BP42" i="1"/>
  <c r="BO42" i="1"/>
  <c r="BN42" i="1"/>
  <c r="BM42" i="1"/>
  <c r="BL42" i="1"/>
  <c r="BK42" i="1"/>
  <c r="BJ42" i="1"/>
  <c r="BI42" i="1"/>
  <c r="BH42" i="1"/>
  <c r="BG42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AT42" i="1"/>
  <c r="AS42" i="1"/>
  <c r="AR42" i="1"/>
  <c r="AQ42" i="1"/>
  <c r="AP42" i="1"/>
  <c r="AO42" i="1"/>
  <c r="AK42" i="1"/>
  <c r="BR77" i="1" s="1"/>
  <c r="G42" i="1"/>
  <c r="AN77" i="1" s="1"/>
  <c r="CZ41" i="1"/>
  <c r="BQ41" i="1"/>
  <c r="BP41" i="1"/>
  <c r="BO41" i="1"/>
  <c r="BN41" i="1"/>
  <c r="BM41" i="1"/>
  <c r="BL41" i="1"/>
  <c r="BK41" i="1"/>
  <c r="BJ41" i="1"/>
  <c r="BI41" i="1"/>
  <c r="BH41" i="1"/>
  <c r="BG41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T41" i="1"/>
  <c r="AS41" i="1"/>
  <c r="AR41" i="1"/>
  <c r="AQ41" i="1"/>
  <c r="AP41" i="1"/>
  <c r="AO41" i="1"/>
  <c r="AK41" i="1"/>
  <c r="BR76" i="1" s="1"/>
  <c r="G41" i="1"/>
  <c r="AN76" i="1" s="1"/>
  <c r="CZ40" i="1"/>
  <c r="BQ40" i="1"/>
  <c r="BP40" i="1"/>
  <c r="BO40" i="1"/>
  <c r="BN40" i="1"/>
  <c r="BM40" i="1"/>
  <c r="BL40" i="1"/>
  <c r="BK40" i="1"/>
  <c r="BJ40" i="1"/>
  <c r="BI40" i="1"/>
  <c r="BH40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K40" i="1"/>
  <c r="BR75" i="1" s="1"/>
  <c r="G40" i="1"/>
  <c r="AN75" i="1" s="1"/>
  <c r="CZ39" i="1"/>
  <c r="BR39" i="1"/>
  <c r="BQ39" i="1"/>
  <c r="BP39" i="1"/>
  <c r="BO39" i="1"/>
  <c r="BN39" i="1"/>
  <c r="BM39" i="1"/>
  <c r="BL39" i="1"/>
  <c r="BK39" i="1"/>
  <c r="BJ39" i="1"/>
  <c r="BI39" i="1"/>
  <c r="BH39" i="1"/>
  <c r="BG39" i="1"/>
  <c r="BF39" i="1"/>
  <c r="BE39" i="1"/>
  <c r="BD39" i="1"/>
  <c r="BC39" i="1"/>
  <c r="BB39" i="1"/>
  <c r="BA39" i="1"/>
  <c r="AZ39" i="1"/>
  <c r="AY39" i="1"/>
  <c r="AX39" i="1"/>
  <c r="AW39" i="1"/>
  <c r="AV39" i="1"/>
  <c r="AU39" i="1"/>
  <c r="AT39" i="1"/>
  <c r="AS39" i="1"/>
  <c r="AR39" i="1"/>
  <c r="AQ39" i="1"/>
  <c r="AP39" i="1"/>
  <c r="AO39" i="1"/>
  <c r="AK39" i="1"/>
  <c r="BR74" i="1" s="1"/>
  <c r="G39" i="1"/>
  <c r="AN74" i="1" s="1"/>
  <c r="AI34" i="1"/>
  <c r="AH34" i="1"/>
  <c r="AG34" i="1"/>
  <c r="AE34" i="1"/>
  <c r="AA34" i="1"/>
  <c r="Y34" i="1"/>
  <c r="W34" i="1"/>
  <c r="O34" i="1"/>
  <c r="K34" i="1"/>
  <c r="J34" i="1"/>
  <c r="I34" i="1"/>
  <c r="AK33" i="1"/>
  <c r="BR69" i="1" s="1"/>
  <c r="G33" i="1"/>
  <c r="AK32" i="1"/>
  <c r="BR68" i="1" s="1"/>
  <c r="G32" i="1"/>
  <c r="F32" i="1"/>
  <c r="AK31" i="1"/>
  <c r="BR67" i="1" s="1"/>
  <c r="G31" i="1"/>
  <c r="AK30" i="1"/>
  <c r="BR66" i="1" s="1"/>
  <c r="G30" i="1"/>
  <c r="F30" i="1"/>
  <c r="AK29" i="1"/>
  <c r="BR65" i="1" s="1"/>
  <c r="G29" i="1"/>
  <c r="AK28" i="1"/>
  <c r="BR64" i="1" s="1"/>
  <c r="G28" i="1"/>
  <c r="AK27" i="1"/>
  <c r="BR63" i="1" s="1"/>
  <c r="G27" i="1"/>
  <c r="AK26" i="1"/>
  <c r="BR62" i="1" s="1"/>
  <c r="G26" i="1"/>
  <c r="DD62" i="1" s="1"/>
  <c r="AK25" i="1"/>
  <c r="BR61" i="1" s="1"/>
  <c r="G25" i="1"/>
  <c r="AL24" i="1"/>
  <c r="AK24" i="1"/>
  <c r="BR60" i="1" s="1"/>
  <c r="G24" i="1"/>
  <c r="AK23" i="1"/>
  <c r="BR59" i="1" s="1"/>
  <c r="G23" i="1"/>
  <c r="AK22" i="1"/>
  <c r="BR58" i="1" s="1"/>
  <c r="G22" i="1"/>
  <c r="AK21" i="1"/>
  <c r="BR57" i="1" s="1"/>
  <c r="G21" i="1"/>
  <c r="AK20" i="1"/>
  <c r="G20" i="1"/>
  <c r="B20" i="1"/>
  <c r="AK19" i="1"/>
  <c r="BR55" i="1" s="1"/>
  <c r="G19" i="1"/>
  <c r="AN55" i="1" s="1"/>
  <c r="AK18" i="1"/>
  <c r="BR54" i="1" s="1"/>
  <c r="G18" i="1"/>
  <c r="AK17" i="1"/>
  <c r="BR53" i="1" s="1"/>
  <c r="G17" i="1"/>
  <c r="AN53" i="1" s="1"/>
  <c r="AK16" i="1"/>
  <c r="BR52" i="1" s="1"/>
  <c r="G16" i="1"/>
  <c r="DD52" i="1" s="1"/>
  <c r="AK15" i="1"/>
  <c r="BR51" i="1" s="1"/>
  <c r="G15" i="1"/>
  <c r="AK14" i="1"/>
  <c r="BR50" i="1" s="1"/>
  <c r="G14" i="1"/>
  <c r="AK13" i="1"/>
  <c r="BR49" i="1" s="1"/>
  <c r="AK12" i="1"/>
  <c r="BR48" i="1" s="1"/>
  <c r="G12" i="1"/>
  <c r="DD48" i="1" s="1"/>
  <c r="AK11" i="1"/>
  <c r="BR47" i="1" s="1"/>
  <c r="G11" i="1"/>
  <c r="AN47" i="1" s="1"/>
  <c r="AK10" i="1"/>
  <c r="BR46" i="1" s="1"/>
  <c r="G10" i="1"/>
  <c r="DD46" i="1" s="1"/>
  <c r="AK9" i="1"/>
  <c r="BR45" i="1" s="1"/>
  <c r="G9" i="1"/>
  <c r="DD45" i="1" s="1"/>
  <c r="AK8" i="1"/>
  <c r="BR44" i="1" s="1"/>
  <c r="G8" i="1"/>
  <c r="AN44" i="1" s="1"/>
  <c r="AK7" i="1"/>
  <c r="BR43" i="1" s="1"/>
  <c r="G7" i="1"/>
  <c r="AN43" i="1" s="1"/>
  <c r="AK6" i="1"/>
  <c r="BR42" i="1" s="1"/>
  <c r="G6" i="1"/>
  <c r="DD42" i="1" s="1"/>
  <c r="B6" i="1"/>
  <c r="AL31" i="1" s="1"/>
  <c r="AL5" i="1"/>
  <c r="AK5" i="1"/>
  <c r="BR41" i="1" s="1"/>
  <c r="G5" i="1"/>
  <c r="AN41" i="1" s="1"/>
  <c r="B5" i="1"/>
  <c r="AF34" i="1" s="1"/>
  <c r="AK4" i="1"/>
  <c r="BR40" i="1" s="1"/>
  <c r="G4" i="1"/>
  <c r="AN40" i="1" s="1"/>
  <c r="F4" i="1"/>
  <c r="AK3" i="1"/>
  <c r="G3" i="1"/>
  <c r="AN39" i="1" s="1"/>
  <c r="AJ2" i="1"/>
  <c r="AH2" i="1"/>
  <c r="AF2" i="1"/>
  <c r="Z2" i="1"/>
  <c r="X2" i="1"/>
  <c r="W2" i="1"/>
  <c r="V2" i="1"/>
  <c r="T2" i="1"/>
  <c r="S2" i="1"/>
  <c r="P2" i="1"/>
  <c r="O2" i="1"/>
  <c r="J2" i="1"/>
  <c r="H2" i="1"/>
  <c r="DD39" i="1" l="1"/>
  <c r="F21" i="1"/>
  <c r="Q34" i="1"/>
  <c r="L2" i="1"/>
  <c r="AB2" i="1"/>
  <c r="R34" i="1"/>
  <c r="K2" i="1"/>
  <c r="AA2" i="1"/>
  <c r="N2" i="1"/>
  <c r="AD2" i="1"/>
  <c r="S34" i="1"/>
  <c r="R2" i="1"/>
  <c r="AI2" i="1"/>
  <c r="AL22" i="1"/>
  <c r="F28" i="1"/>
  <c r="Z34" i="1"/>
  <c r="DD40" i="1"/>
  <c r="AL11" i="1"/>
  <c r="AL19" i="1"/>
  <c r="B25" i="1"/>
  <c r="B27" i="1" s="1"/>
  <c r="AL13" i="1"/>
  <c r="AN57" i="1"/>
  <c r="DD57" i="1"/>
  <c r="DD66" i="1"/>
  <c r="AN66" i="1"/>
  <c r="F8" i="1"/>
  <c r="F14" i="1"/>
  <c r="F16" i="1"/>
  <c r="AN59" i="1"/>
  <c r="DD59" i="1"/>
  <c r="AL26" i="1"/>
  <c r="M2" i="1"/>
  <c r="U2" i="1"/>
  <c r="AC2" i="1"/>
  <c r="AK2" i="1"/>
  <c r="AL4" i="1"/>
  <c r="AN50" i="1"/>
  <c r="DD50" i="1"/>
  <c r="DD54" i="1"/>
  <c r="AN54" i="1"/>
  <c r="F20" i="1"/>
  <c r="AL21" i="1"/>
  <c r="AN61" i="1"/>
  <c r="DD61" i="1"/>
  <c r="AL28" i="1"/>
  <c r="AL30" i="1"/>
  <c r="AL32" i="1"/>
  <c r="L34" i="1"/>
  <c r="T34" i="1"/>
  <c r="AB34" i="1"/>
  <c r="AJ34" i="1"/>
  <c r="AN42" i="1"/>
  <c r="AL15" i="1"/>
  <c r="DD64" i="1"/>
  <c r="AN64" i="1"/>
  <c r="F10" i="1"/>
  <c r="F18" i="1"/>
  <c r="F3" i="1"/>
  <c r="AN56" i="1"/>
  <c r="DD56" i="1"/>
  <c r="B22" i="1"/>
  <c r="AL23" i="1"/>
  <c r="F27" i="1"/>
  <c r="F29" i="1"/>
  <c r="F31" i="1"/>
  <c r="DD69" i="1"/>
  <c r="AN69" i="1"/>
  <c r="M34" i="1"/>
  <c r="U34" i="1"/>
  <c r="AC34" i="1"/>
  <c r="AK34" i="1"/>
  <c r="DD43" i="1"/>
  <c r="DD47" i="1"/>
  <c r="AN48" i="1"/>
  <c r="AN68" i="1"/>
  <c r="DD68" i="1"/>
  <c r="AE2" i="1"/>
  <c r="F5" i="1"/>
  <c r="AL6" i="1"/>
  <c r="AL8" i="1"/>
  <c r="AL10" i="1"/>
  <c r="AL12" i="1"/>
  <c r="AL14" i="1"/>
  <c r="AL16" i="1"/>
  <c r="AL18" i="1"/>
  <c r="F22" i="1"/>
  <c r="F24" i="1"/>
  <c r="AL25" i="1"/>
  <c r="AN63" i="1"/>
  <c r="DD63" i="1"/>
  <c r="DD65" i="1"/>
  <c r="AN65" i="1"/>
  <c r="DD67" i="1"/>
  <c r="AN67" i="1"/>
  <c r="N34" i="1"/>
  <c r="V34" i="1"/>
  <c r="AD34" i="1"/>
  <c r="DD41" i="1"/>
  <c r="AN46" i="1"/>
  <c r="DD55" i="1"/>
  <c r="AN62" i="1"/>
  <c r="AL9" i="1"/>
  <c r="AL17" i="1"/>
  <c r="F23" i="1"/>
  <c r="F6" i="1"/>
  <c r="F25" i="1"/>
  <c r="F7" i="1"/>
  <c r="F17" i="1"/>
  <c r="AL7" i="1"/>
  <c r="F12" i="1"/>
  <c r="BW50" i="1"/>
  <c r="F9" i="1"/>
  <c r="F11" i="1"/>
  <c r="F13" i="1"/>
  <c r="F15" i="1"/>
  <c r="F19" i="1"/>
  <c r="AL20" i="1"/>
  <c r="DD58" i="1"/>
  <c r="AN58" i="1"/>
  <c r="AN60" i="1"/>
  <c r="DD60" i="1"/>
  <c r="B26" i="1"/>
  <c r="AL33" i="1"/>
  <c r="I2" i="1"/>
  <c r="Q2" i="1"/>
  <c r="Y2" i="1"/>
  <c r="AG2" i="1"/>
  <c r="AL3" i="1"/>
  <c r="AN49" i="1"/>
  <c r="DD49" i="1"/>
  <c r="AN51" i="1"/>
  <c r="DD51" i="1"/>
  <c r="B21" i="1"/>
  <c r="CV103" i="1" s="1"/>
  <c r="F26" i="1"/>
  <c r="AL27" i="1"/>
  <c r="AL29" i="1"/>
  <c r="H34" i="1"/>
  <c r="P34" i="1"/>
  <c r="X34" i="1"/>
  <c r="DD44" i="1"/>
  <c r="BW49" i="1" l="1"/>
  <c r="DE44" i="1"/>
  <c r="BW52" i="1"/>
  <c r="BW53" i="1"/>
  <c r="DE49" i="1"/>
  <c r="DF49" i="1" s="1"/>
  <c r="BW58" i="1"/>
  <c r="BW56" i="1"/>
  <c r="BX56" i="1" s="1"/>
  <c r="BY56" i="1" s="1"/>
  <c r="BZ56" i="1" s="1"/>
  <c r="CA56" i="1" s="1"/>
  <c r="DE45" i="1"/>
  <c r="DE60" i="1"/>
  <c r="CQ103" i="1"/>
  <c r="CQ102" i="1" s="1"/>
  <c r="CQ101" i="1" s="1"/>
  <c r="DE62" i="1"/>
  <c r="DF62" i="1" s="1"/>
  <c r="BX53" i="1"/>
  <c r="BY53" i="1" s="1"/>
  <c r="BZ53" i="1" s="1"/>
  <c r="BW40" i="1"/>
  <c r="BW61" i="1"/>
  <c r="BX61" i="1" s="1"/>
  <c r="BY61" i="1" s="1"/>
  <c r="BZ61" i="1" s="1"/>
  <c r="BW63" i="1"/>
  <c r="DE58" i="1"/>
  <c r="BW62" i="1"/>
  <c r="BX62" i="1" s="1"/>
  <c r="BX46" i="1"/>
  <c r="BY46" i="1" s="1"/>
  <c r="BZ46" i="1" s="1"/>
  <c r="DE69" i="1"/>
  <c r="DE50" i="1"/>
  <c r="DF50" i="1" s="1"/>
  <c r="BW47" i="1"/>
  <c r="BW42" i="1"/>
  <c r="BX42" i="1" s="1"/>
  <c r="BW48" i="1"/>
  <c r="BX48" i="1" s="1"/>
  <c r="BY48" i="1" s="1"/>
  <c r="BW46" i="1"/>
  <c r="DE53" i="1"/>
  <c r="DF53" i="1" s="1"/>
  <c r="BV103" i="1"/>
  <c r="BV102" i="1" s="1"/>
  <c r="BV101" i="1" s="1"/>
  <c r="BV100" i="1" s="1"/>
  <c r="BV99" i="1" s="1"/>
  <c r="BV98" i="1" s="1"/>
  <c r="BV97" i="1" s="1"/>
  <c r="BV96" i="1" s="1"/>
  <c r="BV95" i="1" s="1"/>
  <c r="BV94" i="1" s="1"/>
  <c r="BV93" i="1" s="1"/>
  <c r="BV92" i="1" s="1"/>
  <c r="BV91" i="1" s="1"/>
  <c r="BV90" i="1" s="1"/>
  <c r="BV89" i="1" s="1"/>
  <c r="BV88" i="1" s="1"/>
  <c r="BV87" i="1" s="1"/>
  <c r="BV86" i="1" s="1"/>
  <c r="BV85" i="1" s="1"/>
  <c r="BV84" i="1" s="1"/>
  <c r="BV83" i="1" s="1"/>
  <c r="BV82" i="1" s="1"/>
  <c r="BV81" i="1" s="1"/>
  <c r="BV80" i="1" s="1"/>
  <c r="BV79" i="1" s="1"/>
  <c r="BV78" i="1" s="1"/>
  <c r="BV77" i="1" s="1"/>
  <c r="BV76" i="1" s="1"/>
  <c r="BV75" i="1" s="1"/>
  <c r="BV74" i="1" s="1"/>
  <c r="CF103" i="1"/>
  <c r="CN103" i="1"/>
  <c r="CN102" i="1" s="1"/>
  <c r="CN101" i="1" s="1"/>
  <c r="BX63" i="1"/>
  <c r="BW55" i="1"/>
  <c r="BX55" i="1" s="1"/>
  <c r="CS103" i="1"/>
  <c r="CF102" i="1"/>
  <c r="CF101" i="1" s="1"/>
  <c r="CY103" i="1"/>
  <c r="CY102" i="1" s="1"/>
  <c r="BW60" i="1"/>
  <c r="BX60" i="1" s="1"/>
  <c r="BX58" i="1"/>
  <c r="BY58" i="1" s="1"/>
  <c r="BW51" i="1"/>
  <c r="CW103" i="1"/>
  <c r="CP102" i="1"/>
  <c r="CP101" i="1" s="1"/>
  <c r="CK103" i="1"/>
  <c r="BX102" i="1"/>
  <c r="CU103" i="1"/>
  <c r="CU102" i="1" s="1"/>
  <c r="CU101" i="1" s="1"/>
  <c r="CM103" i="1"/>
  <c r="CX103" i="1"/>
  <c r="CX102" i="1" s="1"/>
  <c r="CP103" i="1"/>
  <c r="BX103" i="1"/>
  <c r="CI103" i="1"/>
  <c r="CI102" i="1" s="1"/>
  <c r="BW68" i="1"/>
  <c r="DE42" i="1"/>
  <c r="CO103" i="1"/>
  <c r="CC103" i="1"/>
  <c r="CZ103" i="1"/>
  <c r="CZ102" i="1" s="1"/>
  <c r="CZ101" i="1" s="1"/>
  <c r="CZ100" i="1" s="1"/>
  <c r="CZ99" i="1" s="1"/>
  <c r="CZ98" i="1" s="1"/>
  <c r="CZ97" i="1" s="1"/>
  <c r="CZ96" i="1" s="1"/>
  <c r="CZ95" i="1" s="1"/>
  <c r="CZ94" i="1" s="1"/>
  <c r="CZ93" i="1" s="1"/>
  <c r="CZ92" i="1" s="1"/>
  <c r="CZ91" i="1" s="1"/>
  <c r="CZ90" i="1" s="1"/>
  <c r="CZ89" i="1" s="1"/>
  <c r="CZ88" i="1" s="1"/>
  <c r="CZ87" i="1" s="1"/>
  <c r="CZ86" i="1" s="1"/>
  <c r="CZ85" i="1" s="1"/>
  <c r="CZ84" i="1" s="1"/>
  <c r="CZ83" i="1" s="1"/>
  <c r="CZ82" i="1" s="1"/>
  <c r="CZ81" i="1" s="1"/>
  <c r="CZ80" i="1" s="1"/>
  <c r="CZ79" i="1" s="1"/>
  <c r="CZ78" i="1" s="1"/>
  <c r="CZ77" i="1" s="1"/>
  <c r="CZ76" i="1" s="1"/>
  <c r="CZ75" i="1" s="1"/>
  <c r="CZ74" i="1" s="1"/>
  <c r="CE103" i="1"/>
  <c r="BW103" i="1"/>
  <c r="BZ103" i="1"/>
  <c r="BZ102" i="1" s="1"/>
  <c r="BZ101" i="1" s="1"/>
  <c r="BZ100" i="1" s="1"/>
  <c r="DE46" i="1"/>
  <c r="DF46" i="1" s="1"/>
  <c r="CG103" i="1"/>
  <c r="CW102" i="1"/>
  <c r="CR103" i="1"/>
  <c r="CR102" i="1" s="1"/>
  <c r="BW69" i="1"/>
  <c r="BY63" i="1"/>
  <c r="BZ63" i="1" s="1"/>
  <c r="BW57" i="1"/>
  <c r="BX57" i="1" s="1"/>
  <c r="BY57" i="1" s="1"/>
  <c r="DE48" i="1"/>
  <c r="DF48" i="1" s="1"/>
  <c r="BY103" i="1"/>
  <c r="BY102" i="1" s="1"/>
  <c r="BY101" i="1" s="1"/>
  <c r="CT103" i="1"/>
  <c r="CJ103" i="1"/>
  <c r="BW66" i="1"/>
  <c r="BX66" i="1" s="1"/>
  <c r="BW65" i="1"/>
  <c r="BX65" i="1" s="1"/>
  <c r="BW43" i="1"/>
  <c r="BW45" i="1"/>
  <c r="BX50" i="1"/>
  <c r="BW67" i="1"/>
  <c r="BW54" i="1"/>
  <c r="CV102" i="1"/>
  <c r="CD103" i="1"/>
  <c r="DE51" i="1"/>
  <c r="BX49" i="1"/>
  <c r="CH103" i="1"/>
  <c r="CH102" i="1" s="1"/>
  <c r="CB103" i="1"/>
  <c r="CL103" i="1"/>
  <c r="BW39" i="1"/>
  <c r="BX39" i="1" s="1"/>
  <c r="DE61" i="1"/>
  <c r="DF61" i="1" s="1"/>
  <c r="DE66" i="1"/>
  <c r="BW41" i="1"/>
  <c r="BW44" i="1"/>
  <c r="BW59" i="1"/>
  <c r="BX52" i="1"/>
  <c r="BW64" i="1"/>
  <c r="CA103" i="1"/>
  <c r="CK102" i="1"/>
  <c r="CK101" i="1" s="1"/>
  <c r="DE67" i="1"/>
  <c r="DE57" i="1"/>
  <c r="DE68" i="1"/>
  <c r="DE59" i="1"/>
  <c r="DE41" i="1"/>
  <c r="DF41" i="1" s="1"/>
  <c r="DE65" i="1"/>
  <c r="DF65" i="1" s="1"/>
  <c r="DE47" i="1"/>
  <c r="DF47" i="1" s="1"/>
  <c r="DE43" i="1"/>
  <c r="DF43" i="1" s="1"/>
  <c r="DE64" i="1"/>
  <c r="DE55" i="1"/>
  <c r="DE63" i="1"/>
  <c r="DF63" i="1" s="1"/>
  <c r="DG63" i="1" s="1"/>
  <c r="DD103" i="1"/>
  <c r="EH103" i="1"/>
  <c r="EH102" i="1" s="1"/>
  <c r="DE40" i="1"/>
  <c r="DE56" i="1"/>
  <c r="DE54" i="1"/>
  <c r="DE52" i="1"/>
  <c r="DF52" i="1" s="1"/>
  <c r="DE39" i="1"/>
  <c r="DG61" i="1" l="1"/>
  <c r="DH61" i="1" s="1"/>
  <c r="DI61" i="1" s="1"/>
  <c r="DF57" i="1"/>
  <c r="DG57" i="1" s="1"/>
  <c r="DH57" i="1" s="1"/>
  <c r="DF42" i="1"/>
  <c r="DG42" i="1" s="1"/>
  <c r="DG53" i="1"/>
  <c r="DH53" i="1" s="1"/>
  <c r="DF44" i="1"/>
  <c r="DG44" i="1" s="1"/>
  <c r="DH63" i="1"/>
  <c r="DI63" i="1" s="1"/>
  <c r="DF68" i="1"/>
  <c r="DF45" i="1"/>
  <c r="DF55" i="1"/>
  <c r="DG55" i="1" s="1"/>
  <c r="DD102" i="1"/>
  <c r="DD101" i="1" s="1"/>
  <c r="DD100" i="1" s="1"/>
  <c r="DD99" i="1" s="1"/>
  <c r="DD98" i="1" s="1"/>
  <c r="DD97" i="1" s="1"/>
  <c r="DD96" i="1" s="1"/>
  <c r="DD95" i="1" s="1"/>
  <c r="DD94" i="1" s="1"/>
  <c r="DD93" i="1" s="1"/>
  <c r="DD92" i="1" s="1"/>
  <c r="DD91" i="1" s="1"/>
  <c r="DD90" i="1" s="1"/>
  <c r="DD89" i="1" s="1"/>
  <c r="DD88" i="1" s="1"/>
  <c r="DD87" i="1" s="1"/>
  <c r="DD86" i="1" s="1"/>
  <c r="DD85" i="1" s="1"/>
  <c r="DD84" i="1" s="1"/>
  <c r="DD83" i="1" s="1"/>
  <c r="DD82" i="1" s="1"/>
  <c r="DD81" i="1" s="1"/>
  <c r="DD80" i="1" s="1"/>
  <c r="DD79" i="1" s="1"/>
  <c r="DD78" i="1" s="1"/>
  <c r="DD77" i="1" s="1"/>
  <c r="DD76" i="1" s="1"/>
  <c r="DD75" i="1" s="1"/>
  <c r="DD74" i="1" s="1"/>
  <c r="DF64" i="1"/>
  <c r="DF67" i="1"/>
  <c r="DF58" i="1"/>
  <c r="DG58" i="1" s="1"/>
  <c r="DH58" i="1" s="1"/>
  <c r="DG46" i="1"/>
  <c r="DH46" i="1" s="1"/>
  <c r="DI46" i="1" s="1"/>
  <c r="EH101" i="1"/>
  <c r="DF56" i="1"/>
  <c r="DG56" i="1" s="1"/>
  <c r="DH56" i="1" s="1"/>
  <c r="DI56" i="1" s="1"/>
  <c r="DJ56" i="1" s="1"/>
  <c r="DF40" i="1"/>
  <c r="BZ99" i="1"/>
  <c r="DG49" i="1"/>
  <c r="BY49" i="1"/>
  <c r="BX54" i="1"/>
  <c r="CW101" i="1"/>
  <c r="BX101" i="1"/>
  <c r="BY62" i="1"/>
  <c r="BX40" i="1"/>
  <c r="BY52" i="1"/>
  <c r="CV101" i="1"/>
  <c r="CU100" i="1"/>
  <c r="BX68" i="1"/>
  <c r="CD102" i="1"/>
  <c r="BY39" i="1"/>
  <c r="BX51" i="1"/>
  <c r="CA53" i="1"/>
  <c r="CJ102" i="1"/>
  <c r="BW102" i="1"/>
  <c r="CO102" i="1"/>
  <c r="CY101" i="1"/>
  <c r="CP100" i="1"/>
  <c r="BY100" i="1"/>
  <c r="CA46" i="1"/>
  <c r="CE102" i="1"/>
  <c r="CM102" i="1"/>
  <c r="CA102" i="1"/>
  <c r="BX64" i="1"/>
  <c r="CA61" i="1"/>
  <c r="BZ48" i="1"/>
  <c r="CL102" i="1"/>
  <c r="BZ57" i="1"/>
  <c r="CQ100" i="1"/>
  <c r="CF100" i="1"/>
  <c r="BY55" i="1"/>
  <c r="BX59" i="1"/>
  <c r="DG62" i="1"/>
  <c r="DH62" i="1" s="1"/>
  <c r="CB102" i="1"/>
  <c r="BY50" i="1"/>
  <c r="BX69" i="1"/>
  <c r="BY60" i="1"/>
  <c r="CK100" i="1"/>
  <c r="BY66" i="1"/>
  <c r="CS102" i="1"/>
  <c r="CB56" i="1"/>
  <c r="DF69" i="1"/>
  <c r="BX43" i="1"/>
  <c r="CG102" i="1"/>
  <c r="CI101" i="1"/>
  <c r="DF39" i="1"/>
  <c r="DG39" i="1" s="1"/>
  <c r="DH39" i="1" s="1"/>
  <c r="DF51" i="1"/>
  <c r="DG52" i="1"/>
  <c r="DH52" i="1" s="1"/>
  <c r="EH100" i="1"/>
  <c r="EH99" i="1" s="1"/>
  <c r="EH98" i="1" s="1"/>
  <c r="EH97" i="1" s="1"/>
  <c r="EH96" i="1" s="1"/>
  <c r="EH95" i="1" s="1"/>
  <c r="EH94" i="1" s="1"/>
  <c r="EH93" i="1" s="1"/>
  <c r="EH92" i="1" s="1"/>
  <c r="EH91" i="1" s="1"/>
  <c r="EH90" i="1" s="1"/>
  <c r="EH89" i="1" s="1"/>
  <c r="EH88" i="1" s="1"/>
  <c r="EH87" i="1" s="1"/>
  <c r="EH86" i="1" s="1"/>
  <c r="EH85" i="1" s="1"/>
  <c r="EH84" i="1" s="1"/>
  <c r="EH83" i="1" s="1"/>
  <c r="EH82" i="1" s="1"/>
  <c r="EH81" i="1" s="1"/>
  <c r="EH80" i="1" s="1"/>
  <c r="EH79" i="1" s="1"/>
  <c r="EH78" i="1" s="1"/>
  <c r="EH77" i="1" s="1"/>
  <c r="EH76" i="1" s="1"/>
  <c r="EH75" i="1" s="1"/>
  <c r="EH74" i="1" s="1"/>
  <c r="DG65" i="1"/>
  <c r="BX44" i="1"/>
  <c r="BY65" i="1"/>
  <c r="BY42" i="1"/>
  <c r="CC102" i="1"/>
  <c r="DF60" i="1"/>
  <c r="DG60" i="1" s="1"/>
  <c r="CH101" i="1"/>
  <c r="CT102" i="1"/>
  <c r="DF54" i="1"/>
  <c r="BX45" i="1"/>
  <c r="CR101" i="1"/>
  <c r="DF59" i="1"/>
  <c r="DG59" i="1" s="1"/>
  <c r="DF66" i="1"/>
  <c r="DG66" i="1" s="1"/>
  <c r="DH66" i="1" s="1"/>
  <c r="BX67" i="1"/>
  <c r="DG48" i="1"/>
  <c r="DH48" i="1" s="1"/>
  <c r="CA63" i="1"/>
  <c r="CN100" i="1"/>
  <c r="BX47" i="1"/>
  <c r="DG47" i="1" s="1"/>
  <c r="DG50" i="1"/>
  <c r="BX41" i="1"/>
  <c r="DG41" i="1" s="1"/>
  <c r="BZ58" i="1"/>
  <c r="CX101" i="1"/>
  <c r="DI53" i="1"/>
  <c r="DG68" i="1" l="1"/>
  <c r="DG51" i="1"/>
  <c r="DH60" i="1"/>
  <c r="DG69" i="1"/>
  <c r="DI58" i="1"/>
  <c r="DH50" i="1"/>
  <c r="DI50" i="1" s="1"/>
  <c r="DG67" i="1"/>
  <c r="DJ46" i="1"/>
  <c r="DI57" i="1"/>
  <c r="DH55" i="1"/>
  <c r="DJ53" i="1"/>
  <c r="DI48" i="1"/>
  <c r="BY64" i="1"/>
  <c r="CD101" i="1"/>
  <c r="BY40" i="1"/>
  <c r="CB63" i="1"/>
  <c r="BZ65" i="1"/>
  <c r="BZ60" i="1"/>
  <c r="CB101" i="1"/>
  <c r="CF99" i="1"/>
  <c r="CA101" i="1"/>
  <c r="BY99" i="1"/>
  <c r="BY54" i="1"/>
  <c r="CT101" i="1"/>
  <c r="CC101" i="1"/>
  <c r="BY43" i="1"/>
  <c r="CA48" i="1"/>
  <c r="CM101" i="1"/>
  <c r="BW101" i="1"/>
  <c r="CB53" i="1"/>
  <c r="CV100" i="1"/>
  <c r="BZ62" i="1"/>
  <c r="CG101" i="1"/>
  <c r="DK56" i="1"/>
  <c r="BY44" i="1"/>
  <c r="DH44" i="1" s="1"/>
  <c r="CS101" i="1"/>
  <c r="BY69" i="1"/>
  <c r="BY59" i="1"/>
  <c r="DH59" i="1" s="1"/>
  <c r="DG40" i="1"/>
  <c r="DH40" i="1" s="1"/>
  <c r="CE101" i="1"/>
  <c r="CP99" i="1"/>
  <c r="BY51" i="1"/>
  <c r="DJ61" i="1"/>
  <c r="DH49" i="1"/>
  <c r="BY47" i="1"/>
  <c r="DH47" i="1" s="1"/>
  <c r="BZ42" i="1"/>
  <c r="CI100" i="1"/>
  <c r="DI62" i="1"/>
  <c r="CQ99" i="1"/>
  <c r="DG64" i="1"/>
  <c r="BZ49" i="1"/>
  <c r="CX100" i="1"/>
  <c r="CN99" i="1"/>
  <c r="CR100" i="1"/>
  <c r="DH42" i="1"/>
  <c r="CA58" i="1"/>
  <c r="DJ58" i="1" s="1"/>
  <c r="BY67" i="1"/>
  <c r="DG54" i="1"/>
  <c r="CH100" i="1"/>
  <c r="DH65" i="1"/>
  <c r="DG43" i="1"/>
  <c r="DH43" i="1" s="1"/>
  <c r="CA57" i="1"/>
  <c r="CB61" i="1"/>
  <c r="CJ101" i="1"/>
  <c r="BY68" i="1"/>
  <c r="DH68" i="1" s="1"/>
  <c r="BZ52" i="1"/>
  <c r="BX100" i="1"/>
  <c r="BY45" i="1"/>
  <c r="CC56" i="1"/>
  <c r="CO101" i="1"/>
  <c r="BY41" i="1"/>
  <c r="BZ66" i="1"/>
  <c r="BZ50" i="1"/>
  <c r="BZ55" i="1"/>
  <c r="DG45" i="1"/>
  <c r="CY100" i="1"/>
  <c r="BZ39" i="1"/>
  <c r="BZ98" i="1"/>
  <c r="DH69" i="1"/>
  <c r="CK99" i="1"/>
  <c r="CL101" i="1"/>
  <c r="DJ63" i="1"/>
  <c r="DK63" i="1" s="1"/>
  <c r="CB46" i="1"/>
  <c r="CU99" i="1"/>
  <c r="CW100" i="1"/>
  <c r="DI60" i="1" l="1"/>
  <c r="DH54" i="1"/>
  <c r="DI54" i="1" s="1"/>
  <c r="DH45" i="1"/>
  <c r="DJ57" i="1"/>
  <c r="DI49" i="1"/>
  <c r="DJ49" i="1" s="1"/>
  <c r="BZ97" i="1"/>
  <c r="CF98" i="1"/>
  <c r="CA50" i="1"/>
  <c r="DJ50" i="1" s="1"/>
  <c r="CB58" i="1"/>
  <c r="CX99" i="1"/>
  <c r="CI99" i="1"/>
  <c r="DK61" i="1"/>
  <c r="BZ59" i="1"/>
  <c r="DI59" i="1" s="1"/>
  <c r="BZ54" i="1"/>
  <c r="BZ64" i="1"/>
  <c r="CL100" i="1"/>
  <c r="BZ67" i="1"/>
  <c r="CA65" i="1"/>
  <c r="BZ44" i="1"/>
  <c r="CU98" i="1"/>
  <c r="CK98" i="1"/>
  <c r="CA39" i="1"/>
  <c r="CD56" i="1"/>
  <c r="BZ68" i="1"/>
  <c r="DI68" i="1" s="1"/>
  <c r="DI43" i="1"/>
  <c r="BZ51" i="1"/>
  <c r="DL56" i="1"/>
  <c r="CC53" i="1"/>
  <c r="BZ43" i="1"/>
  <c r="CB100" i="1"/>
  <c r="CC63" i="1"/>
  <c r="DL63" i="1" s="1"/>
  <c r="CA55" i="1"/>
  <c r="CB57" i="1"/>
  <c r="CV99" i="1"/>
  <c r="CA66" i="1"/>
  <c r="DI65" i="1"/>
  <c r="DI39" i="1"/>
  <c r="CA49" i="1"/>
  <c r="CA42" i="1"/>
  <c r="BZ69" i="1"/>
  <c r="CG100" i="1"/>
  <c r="BY98" i="1"/>
  <c r="DI55" i="1"/>
  <c r="CW99" i="1"/>
  <c r="CC46" i="1"/>
  <c r="CY99" i="1"/>
  <c r="BZ45" i="1"/>
  <c r="DI45" i="1" s="1"/>
  <c r="CJ100" i="1"/>
  <c r="CH99" i="1"/>
  <c r="DI42" i="1"/>
  <c r="CP98" i="1"/>
  <c r="BW100" i="1"/>
  <c r="CC100" i="1"/>
  <c r="CA60" i="1"/>
  <c r="DJ60" i="1" s="1"/>
  <c r="BZ40" i="1"/>
  <c r="DI40" i="1" s="1"/>
  <c r="DI66" i="1"/>
  <c r="CN98" i="1"/>
  <c r="CO100" i="1"/>
  <c r="CB48" i="1"/>
  <c r="DK46" i="1"/>
  <c r="BZ41" i="1"/>
  <c r="CR99" i="1"/>
  <c r="DH64" i="1"/>
  <c r="DJ48" i="1"/>
  <c r="DH67" i="1"/>
  <c r="DI67" i="1" s="1"/>
  <c r="DK53" i="1"/>
  <c r="CA100" i="1"/>
  <c r="CA52" i="1"/>
  <c r="DI52" i="1"/>
  <c r="DJ52" i="1" s="1"/>
  <c r="BX99" i="1"/>
  <c r="CC61" i="1"/>
  <c r="CQ98" i="1"/>
  <c r="BZ47" i="1"/>
  <c r="CE100" i="1"/>
  <c r="CS100" i="1"/>
  <c r="CA62" i="1"/>
  <c r="DJ62" i="1" s="1"/>
  <c r="CM100" i="1"/>
  <c r="CT100" i="1"/>
  <c r="DH51" i="1"/>
  <c r="DI51" i="1" s="1"/>
  <c r="CD100" i="1"/>
  <c r="DH41" i="1"/>
  <c r="DK48" i="1" l="1"/>
  <c r="DJ39" i="1"/>
  <c r="DJ65" i="1"/>
  <c r="DL61" i="1"/>
  <c r="CA41" i="1"/>
  <c r="CD46" i="1"/>
  <c r="CA44" i="1"/>
  <c r="CI98" i="1"/>
  <c r="BW99" i="1"/>
  <c r="DI44" i="1"/>
  <c r="DM56" i="1"/>
  <c r="DN56" i="1" s="1"/>
  <c r="CB39" i="1"/>
  <c r="CD99" i="1"/>
  <c r="CC48" i="1"/>
  <c r="DJ66" i="1"/>
  <c r="CA45" i="1"/>
  <c r="DJ45" i="1" s="1"/>
  <c r="CW98" i="1"/>
  <c r="CA51" i="1"/>
  <c r="CB65" i="1"/>
  <c r="CX98" i="1"/>
  <c r="CA47" i="1"/>
  <c r="CC99" i="1"/>
  <c r="CE56" i="1"/>
  <c r="CA64" i="1"/>
  <c r="CB62" i="1"/>
  <c r="CD63" i="1"/>
  <c r="DM63" i="1" s="1"/>
  <c r="CP97" i="1"/>
  <c r="CV98" i="1"/>
  <c r="CB52" i="1"/>
  <c r="DK52" i="1" s="1"/>
  <c r="DI64" i="1"/>
  <c r="CY98" i="1"/>
  <c r="DJ55" i="1"/>
  <c r="CA67" i="1"/>
  <c r="DJ67" i="1" s="1"/>
  <c r="CC58" i="1"/>
  <c r="CA99" i="1"/>
  <c r="CB55" i="1"/>
  <c r="CJ99" i="1"/>
  <c r="DI41" i="1"/>
  <c r="DL53" i="1"/>
  <c r="CA69" i="1"/>
  <c r="CS99" i="1"/>
  <c r="CB99" i="1"/>
  <c r="CK97" i="1"/>
  <c r="BZ96" i="1"/>
  <c r="CD61" i="1"/>
  <c r="CT99" i="1"/>
  <c r="CE99" i="1"/>
  <c r="CR98" i="1"/>
  <c r="CO99" i="1"/>
  <c r="CB60" i="1"/>
  <c r="DK60" i="1" s="1"/>
  <c r="DJ42" i="1"/>
  <c r="BY97" i="1"/>
  <c r="CB49" i="1"/>
  <c r="CC57" i="1"/>
  <c r="CA43" i="1"/>
  <c r="DJ43" i="1" s="1"/>
  <c r="CA68" i="1"/>
  <c r="DJ68" i="1" s="1"/>
  <c r="CU97" i="1"/>
  <c r="CA59" i="1"/>
  <c r="DK58" i="1"/>
  <c r="DL58" i="1" s="1"/>
  <c r="CF97" i="1"/>
  <c r="CQ97" i="1"/>
  <c r="DL46" i="1"/>
  <c r="CB66" i="1"/>
  <c r="CA40" i="1"/>
  <c r="CB42" i="1"/>
  <c r="CA54" i="1"/>
  <c r="DJ54" i="1" s="1"/>
  <c r="BX98" i="1"/>
  <c r="CH98" i="1"/>
  <c r="DI69" i="1"/>
  <c r="DJ69" i="1" s="1"/>
  <c r="CL99" i="1"/>
  <c r="CB50" i="1"/>
  <c r="DK50" i="1" s="1"/>
  <c r="DK57" i="1"/>
  <c r="CM99" i="1"/>
  <c r="CN97" i="1"/>
  <c r="CG99" i="1"/>
  <c r="CD53" i="1"/>
  <c r="DI47" i="1"/>
  <c r="DK66" i="1" l="1"/>
  <c r="DK65" i="1"/>
  <c r="DK39" i="1"/>
  <c r="DL39" i="1" s="1"/>
  <c r="DM61" i="1"/>
  <c r="DM46" i="1"/>
  <c r="DJ41" i="1"/>
  <c r="DJ47" i="1"/>
  <c r="CO98" i="1"/>
  <c r="CC42" i="1"/>
  <c r="CC49" i="1"/>
  <c r="CE46" i="1"/>
  <c r="CB47" i="1"/>
  <c r="BW98" i="1"/>
  <c r="CE53" i="1"/>
  <c r="DL57" i="1"/>
  <c r="CB40" i="1"/>
  <c r="CF96" i="1"/>
  <c r="CB68" i="1"/>
  <c r="BY96" i="1"/>
  <c r="CB69" i="1"/>
  <c r="DK69" i="1" s="1"/>
  <c r="DK55" i="1"/>
  <c r="CP96" i="1"/>
  <c r="CB64" i="1"/>
  <c r="CB41" i="1"/>
  <c r="CM98" i="1"/>
  <c r="CU96" i="1"/>
  <c r="CV97" i="1"/>
  <c r="CD48" i="1"/>
  <c r="CC55" i="1"/>
  <c r="CC50" i="1"/>
  <c r="DL50" i="1" s="1"/>
  <c r="BX97" i="1"/>
  <c r="CE98" i="1"/>
  <c r="CK96" i="1"/>
  <c r="CA98" i="1"/>
  <c r="CY97" i="1"/>
  <c r="DK49" i="1"/>
  <c r="CW97" i="1"/>
  <c r="CD98" i="1"/>
  <c r="CN96" i="1"/>
  <c r="CB59" i="1"/>
  <c r="CC98" i="1"/>
  <c r="CQ96" i="1"/>
  <c r="CS98" i="1"/>
  <c r="CC62" i="1"/>
  <c r="BZ95" i="1"/>
  <c r="CG98" i="1"/>
  <c r="DL48" i="1"/>
  <c r="DM48" i="1" s="1"/>
  <c r="CB43" i="1"/>
  <c r="DK42" i="1"/>
  <c r="DM53" i="1"/>
  <c r="DJ59" i="1"/>
  <c r="CX97" i="1"/>
  <c r="CI97" i="1"/>
  <c r="DJ40" i="1"/>
  <c r="CE61" i="1"/>
  <c r="CB67" i="1"/>
  <c r="CC65" i="1"/>
  <c r="CH97" i="1"/>
  <c r="DJ44" i="1"/>
  <c r="CR97" i="1"/>
  <c r="CB51" i="1"/>
  <c r="CL98" i="1"/>
  <c r="DJ51" i="1"/>
  <c r="DK51" i="1" s="1"/>
  <c r="CC66" i="1"/>
  <c r="CC60" i="1"/>
  <c r="DL60" i="1" s="1"/>
  <c r="CT98" i="1"/>
  <c r="CB98" i="1"/>
  <c r="CD58" i="1"/>
  <c r="DM58" i="1" s="1"/>
  <c r="DJ64" i="1"/>
  <c r="CE63" i="1"/>
  <c r="DN63" i="1" s="1"/>
  <c r="CF56" i="1"/>
  <c r="DO56" i="1" s="1"/>
  <c r="CB45" i="1"/>
  <c r="CC39" i="1"/>
  <c r="DK62" i="1"/>
  <c r="CB54" i="1"/>
  <c r="CD57" i="1"/>
  <c r="CJ98" i="1"/>
  <c r="CC52" i="1"/>
  <c r="CB44" i="1"/>
  <c r="DL62" i="1" l="1"/>
  <c r="DL65" i="1"/>
  <c r="DK41" i="1"/>
  <c r="DM57" i="1"/>
  <c r="DK59" i="1"/>
  <c r="DK40" i="1"/>
  <c r="DL42" i="1"/>
  <c r="CN95" i="1"/>
  <c r="CF46" i="1"/>
  <c r="CC67" i="1"/>
  <c r="CU95" i="1"/>
  <c r="CC44" i="1"/>
  <c r="DK44" i="1"/>
  <c r="CG97" i="1"/>
  <c r="CQ95" i="1"/>
  <c r="CD97" i="1"/>
  <c r="CP95" i="1"/>
  <c r="CD49" i="1"/>
  <c r="CC45" i="1"/>
  <c r="CO97" i="1"/>
  <c r="CD66" i="1"/>
  <c r="CC68" i="1"/>
  <c r="CB97" i="1"/>
  <c r="CC54" i="1"/>
  <c r="DK45" i="1"/>
  <c r="CF61" i="1"/>
  <c r="CK95" i="1"/>
  <c r="CD55" i="1"/>
  <c r="CM97" i="1"/>
  <c r="CF95" i="1"/>
  <c r="BW97" i="1"/>
  <c r="DK67" i="1"/>
  <c r="CF63" i="1"/>
  <c r="DO63" i="1" s="1"/>
  <c r="CT97" i="1"/>
  <c r="CL97" i="1"/>
  <c r="CH96" i="1"/>
  <c r="DN53" i="1"/>
  <c r="BZ94" i="1"/>
  <c r="CC97" i="1"/>
  <c r="CW96" i="1"/>
  <c r="DL55" i="1"/>
  <c r="DM55" i="1" s="1"/>
  <c r="CD42" i="1"/>
  <c r="DK54" i="1"/>
  <c r="CE57" i="1"/>
  <c r="CX96" i="1"/>
  <c r="CF53" i="1"/>
  <c r="CD52" i="1"/>
  <c r="DN46" i="1"/>
  <c r="CE97" i="1"/>
  <c r="CE48" i="1"/>
  <c r="CC69" i="1"/>
  <c r="CC40" i="1"/>
  <c r="CC47" i="1"/>
  <c r="CR96" i="1"/>
  <c r="CC64" i="1"/>
  <c r="DN48" i="1"/>
  <c r="CA97" i="1"/>
  <c r="CG56" i="1"/>
  <c r="CD39" i="1"/>
  <c r="DM39" i="1" s="1"/>
  <c r="DK64" i="1"/>
  <c r="CD60" i="1"/>
  <c r="DM60" i="1" s="1"/>
  <c r="CC51" i="1"/>
  <c r="DL51" i="1" s="1"/>
  <c r="CD65" i="1"/>
  <c r="CC43" i="1"/>
  <c r="CD62" i="1"/>
  <c r="CC59" i="1"/>
  <c r="DL49" i="1"/>
  <c r="CC41" i="1"/>
  <c r="DK47" i="1"/>
  <c r="DN61" i="1"/>
  <c r="DO61" i="1" s="1"/>
  <c r="DN58" i="1"/>
  <c r="CS97" i="1"/>
  <c r="CD50" i="1"/>
  <c r="CJ97" i="1"/>
  <c r="CE58" i="1"/>
  <c r="CI96" i="1"/>
  <c r="CY96" i="1"/>
  <c r="BX96" i="1"/>
  <c r="CV96" i="1"/>
  <c r="BY95" i="1"/>
  <c r="DK68" i="1"/>
  <c r="DK43" i="1"/>
  <c r="DL66" i="1"/>
  <c r="DL52" i="1"/>
  <c r="DM62" i="1" l="1"/>
  <c r="DN62" i="1" s="1"/>
  <c r="DM42" i="1"/>
  <c r="DM52" i="1"/>
  <c r="DO53" i="1"/>
  <c r="DL45" i="1"/>
  <c r="DL44" i="1"/>
  <c r="DL59" i="1"/>
  <c r="DL67" i="1"/>
  <c r="DL68" i="1"/>
  <c r="CE49" i="1"/>
  <c r="CJ96" i="1"/>
  <c r="CX95" i="1"/>
  <c r="CE55" i="1"/>
  <c r="CD43" i="1"/>
  <c r="CO96" i="1"/>
  <c r="DL43" i="1"/>
  <c r="DM43" i="1" s="1"/>
  <c r="CY95" i="1"/>
  <c r="CE50" i="1"/>
  <c r="CD41" i="1"/>
  <c r="DL64" i="1"/>
  <c r="DO46" i="1"/>
  <c r="CF57" i="1"/>
  <c r="CL96" i="1"/>
  <c r="BW96" i="1"/>
  <c r="CK94" i="1"/>
  <c r="CD44" i="1"/>
  <c r="CN94" i="1"/>
  <c r="DL47" i="1"/>
  <c r="CD69" i="1"/>
  <c r="CC96" i="1"/>
  <c r="CB96" i="1"/>
  <c r="CD96" i="1"/>
  <c r="CG46" i="1"/>
  <c r="CP94" i="1"/>
  <c r="CD64" i="1"/>
  <c r="BY94" i="1"/>
  <c r="CI95" i="1"/>
  <c r="DL41" i="1"/>
  <c r="DM49" i="1"/>
  <c r="CE65" i="1"/>
  <c r="CE52" i="1"/>
  <c r="DN57" i="1"/>
  <c r="CT96" i="1"/>
  <c r="CF94" i="1"/>
  <c r="CD45" i="1"/>
  <c r="DM45" i="1" s="1"/>
  <c r="CU94" i="1"/>
  <c r="DM50" i="1"/>
  <c r="DN50" i="1" s="1"/>
  <c r="CD47" i="1"/>
  <c r="CE96" i="1"/>
  <c r="CE66" i="1"/>
  <c r="CG96" i="1"/>
  <c r="BX95" i="1"/>
  <c r="DM66" i="1"/>
  <c r="CD40" i="1"/>
  <c r="CE39" i="1"/>
  <c r="CS96" i="1"/>
  <c r="CD59" i="1"/>
  <c r="CH56" i="1"/>
  <c r="CR95" i="1"/>
  <c r="CF48" i="1"/>
  <c r="DO48" i="1" s="1"/>
  <c r="DL54" i="1"/>
  <c r="BZ93" i="1"/>
  <c r="CG61" i="1"/>
  <c r="DP61" i="1" s="1"/>
  <c r="CD68" i="1"/>
  <c r="CQ94" i="1"/>
  <c r="DP56" i="1"/>
  <c r="CE62" i="1"/>
  <c r="CA96" i="1"/>
  <c r="CE60" i="1"/>
  <c r="CH95" i="1"/>
  <c r="CW95" i="1"/>
  <c r="CD54" i="1"/>
  <c r="DL40" i="1"/>
  <c r="CV95" i="1"/>
  <c r="CF58" i="1"/>
  <c r="CD51" i="1"/>
  <c r="DM51" i="1" s="1"/>
  <c r="CG53" i="1"/>
  <c r="CE42" i="1"/>
  <c r="CG63" i="1"/>
  <c r="DP63" i="1" s="1"/>
  <c r="CM96" i="1"/>
  <c r="DL69" i="1"/>
  <c r="DM69" i="1" s="1"/>
  <c r="CD67" i="1"/>
  <c r="DM65" i="1"/>
  <c r="DN52" i="1" l="1"/>
  <c r="DN42" i="1"/>
  <c r="DM64" i="1"/>
  <c r="DN49" i="1"/>
  <c r="DM44" i="1"/>
  <c r="DM67" i="1"/>
  <c r="DN65" i="1"/>
  <c r="DM41" i="1"/>
  <c r="DO57" i="1"/>
  <c r="CE47" i="1"/>
  <c r="DO62" i="1"/>
  <c r="CR94" i="1"/>
  <c r="CL95" i="1"/>
  <c r="CF42" i="1"/>
  <c r="CV94" i="1"/>
  <c r="CH94" i="1"/>
  <c r="BZ92" i="1"/>
  <c r="CE40" i="1"/>
  <c r="CF66" i="1"/>
  <c r="CU93" i="1"/>
  <c r="CH46" i="1"/>
  <c r="CC95" i="1"/>
  <c r="CF50" i="1"/>
  <c r="DO50" i="1" s="1"/>
  <c r="CE43" i="1"/>
  <c r="DN43" i="1" s="1"/>
  <c r="CF49" i="1"/>
  <c r="CM95" i="1"/>
  <c r="CE68" i="1"/>
  <c r="DM68" i="1"/>
  <c r="CX94" i="1"/>
  <c r="CF39" i="1"/>
  <c r="CF62" i="1"/>
  <c r="CI56" i="1"/>
  <c r="CI94" i="1"/>
  <c r="CE67" i="1"/>
  <c r="DQ56" i="1"/>
  <c r="CE59" i="1"/>
  <c r="CF52" i="1"/>
  <c r="BY93" i="1"/>
  <c r="CE44" i="1"/>
  <c r="CG57" i="1"/>
  <c r="BX94" i="1"/>
  <c r="CW94" i="1"/>
  <c r="CN93" i="1"/>
  <c r="CH53" i="1"/>
  <c r="DM40" i="1"/>
  <c r="CF60" i="1"/>
  <c r="CQ93" i="1"/>
  <c r="DM54" i="1"/>
  <c r="DN66" i="1"/>
  <c r="DO66" i="1" s="1"/>
  <c r="CE95" i="1"/>
  <c r="CE45" i="1"/>
  <c r="CE69" i="1"/>
  <c r="CY94" i="1"/>
  <c r="CF55" i="1"/>
  <c r="DP53" i="1"/>
  <c r="DN69" i="1"/>
  <c r="CE54" i="1"/>
  <c r="CG48" i="1"/>
  <c r="CS95" i="1"/>
  <c r="CF65" i="1"/>
  <c r="CE64" i="1"/>
  <c r="CK93" i="1"/>
  <c r="DP46" i="1"/>
  <c r="DN60" i="1"/>
  <c r="CE51" i="1"/>
  <c r="CF93" i="1"/>
  <c r="CD95" i="1"/>
  <c r="CA95" i="1"/>
  <c r="CP93" i="1"/>
  <c r="DM47" i="1"/>
  <c r="DN47" i="1" s="1"/>
  <c r="BW95" i="1"/>
  <c r="CO95" i="1"/>
  <c r="DN39" i="1"/>
  <c r="CH63" i="1"/>
  <c r="DQ63" i="1" s="1"/>
  <c r="CG58" i="1"/>
  <c r="CH61" i="1"/>
  <c r="CG95" i="1"/>
  <c r="DO58" i="1"/>
  <c r="CT95" i="1"/>
  <c r="CB95" i="1"/>
  <c r="DN55" i="1"/>
  <c r="DO55" i="1" s="1"/>
  <c r="CE41" i="1"/>
  <c r="CJ95" i="1"/>
  <c r="DM59" i="1"/>
  <c r="DO52" i="1" l="1"/>
  <c r="DO42" i="1"/>
  <c r="DO49" i="1"/>
  <c r="DQ53" i="1"/>
  <c r="DO60" i="1"/>
  <c r="DQ46" i="1"/>
  <c r="DN41" i="1"/>
  <c r="DO65" i="1"/>
  <c r="DN67" i="1"/>
  <c r="DO39" i="1"/>
  <c r="DN68" i="1"/>
  <c r="CU92" i="1"/>
  <c r="DP55" i="1"/>
  <c r="CF44" i="1"/>
  <c r="BW94" i="1"/>
  <c r="CS94" i="1"/>
  <c r="DN44" i="1"/>
  <c r="CF45" i="1"/>
  <c r="CG60" i="1"/>
  <c r="CW93" i="1"/>
  <c r="CF67" i="1"/>
  <c r="CG39" i="1"/>
  <c r="CF40" i="1"/>
  <c r="CG42" i="1"/>
  <c r="CF51" i="1"/>
  <c r="CH57" i="1"/>
  <c r="DR56" i="1"/>
  <c r="CM94" i="1"/>
  <c r="CJ94" i="1"/>
  <c r="CK92" i="1"/>
  <c r="BY92" i="1"/>
  <c r="CG49" i="1"/>
  <c r="DP49" i="1" s="1"/>
  <c r="CI46" i="1"/>
  <c r="CH93" i="1"/>
  <c r="DN54" i="1"/>
  <c r="DO54" i="1" s="1"/>
  <c r="CC94" i="1"/>
  <c r="DN59" i="1"/>
  <c r="CH58" i="1"/>
  <c r="CT94" i="1"/>
  <c r="CD94" i="1"/>
  <c r="CI63" i="1"/>
  <c r="CH48" i="1"/>
  <c r="CG55" i="1"/>
  <c r="CE94" i="1"/>
  <c r="DN40" i="1"/>
  <c r="CI93" i="1"/>
  <c r="CX93" i="1"/>
  <c r="BZ91" i="1"/>
  <c r="CF47" i="1"/>
  <c r="DO47" i="1" s="1"/>
  <c r="CG94" i="1"/>
  <c r="CF64" i="1"/>
  <c r="CF54" i="1"/>
  <c r="CJ56" i="1"/>
  <c r="CN92" i="1"/>
  <c r="DN64" i="1"/>
  <c r="DO64" i="1" s="1"/>
  <c r="CR93" i="1"/>
  <c r="CF41" i="1"/>
  <c r="DP58" i="1"/>
  <c r="CP92" i="1"/>
  <c r="CF92" i="1"/>
  <c r="DN45" i="1"/>
  <c r="CI53" i="1"/>
  <c r="BX93" i="1"/>
  <c r="CG52" i="1"/>
  <c r="CF43" i="1"/>
  <c r="DO43" i="1" s="1"/>
  <c r="DP57" i="1"/>
  <c r="CL94" i="1"/>
  <c r="CY93" i="1"/>
  <c r="CO94" i="1"/>
  <c r="CF59" i="1"/>
  <c r="CF68" i="1"/>
  <c r="CG50" i="1"/>
  <c r="DN51" i="1"/>
  <c r="DO51" i="1" s="1"/>
  <c r="CB94" i="1"/>
  <c r="CI61" i="1"/>
  <c r="CA94" i="1"/>
  <c r="CG65" i="1"/>
  <c r="CF69" i="1"/>
  <c r="DO69" i="1" s="1"/>
  <c r="CQ92" i="1"/>
  <c r="CG62" i="1"/>
  <c r="DP62" i="1" s="1"/>
  <c r="CG66" i="1"/>
  <c r="DP66" i="1" s="1"/>
  <c r="CV93" i="1"/>
  <c r="DP48" i="1"/>
  <c r="DQ61" i="1"/>
  <c r="DR61" i="1" s="1"/>
  <c r="DP52" i="1" l="1"/>
  <c r="DR53" i="1"/>
  <c r="DS53" i="1" s="1"/>
  <c r="DP60" i="1"/>
  <c r="DO40" i="1"/>
  <c r="DQ58" i="1"/>
  <c r="DO41" i="1"/>
  <c r="DO68" i="1"/>
  <c r="DO67" i="1"/>
  <c r="DQ48" i="1"/>
  <c r="DO44" i="1"/>
  <c r="CH39" i="1"/>
  <c r="CJ53" i="1"/>
  <c r="CG47" i="1"/>
  <c r="DP47" i="1" s="1"/>
  <c r="CJ63" i="1"/>
  <c r="CH65" i="1"/>
  <c r="DQ57" i="1"/>
  <c r="CE93" i="1"/>
  <c r="CJ46" i="1"/>
  <c r="CG44" i="1"/>
  <c r="CA93" i="1"/>
  <c r="CH50" i="1"/>
  <c r="CF91" i="1"/>
  <c r="CH55" i="1"/>
  <c r="CH49" i="1"/>
  <c r="DQ49" i="1" s="1"/>
  <c r="CH42" i="1"/>
  <c r="CW92" i="1"/>
  <c r="CL93" i="1"/>
  <c r="CH66" i="1"/>
  <c r="DQ66" i="1" s="1"/>
  <c r="CK56" i="1"/>
  <c r="CY92" i="1"/>
  <c r="CH52" i="1"/>
  <c r="CG64" i="1"/>
  <c r="DP64" i="1" s="1"/>
  <c r="CX92" i="1"/>
  <c r="CT93" i="1"/>
  <c r="CM93" i="1"/>
  <c r="DQ55" i="1"/>
  <c r="CJ61" i="1"/>
  <c r="CG68" i="1"/>
  <c r="CP91" i="1"/>
  <c r="CN91" i="1"/>
  <c r="CI48" i="1"/>
  <c r="CH92" i="1"/>
  <c r="BY91" i="1"/>
  <c r="CG40" i="1"/>
  <c r="CH60" i="1"/>
  <c r="DQ60" i="1" s="1"/>
  <c r="DR63" i="1"/>
  <c r="CU91" i="1"/>
  <c r="CB93" i="1"/>
  <c r="CG45" i="1"/>
  <c r="CG41" i="1"/>
  <c r="DO59" i="1"/>
  <c r="CQ91" i="1"/>
  <c r="DR46" i="1"/>
  <c r="DS46" i="1" s="1"/>
  <c r="CV92" i="1"/>
  <c r="CG69" i="1"/>
  <c r="DP39" i="1"/>
  <c r="BX92" i="1"/>
  <c r="CG93" i="1"/>
  <c r="CI92" i="1"/>
  <c r="CI58" i="1"/>
  <c r="DS56" i="1"/>
  <c r="BW93" i="1"/>
  <c r="CG59" i="1"/>
  <c r="CI57" i="1"/>
  <c r="CK91" i="1"/>
  <c r="CO93" i="1"/>
  <c r="CC93" i="1"/>
  <c r="CG51" i="1"/>
  <c r="DP51" i="1" s="1"/>
  <c r="CG67" i="1"/>
  <c r="DP65" i="1"/>
  <c r="CH62" i="1"/>
  <c r="DQ62" i="1" s="1"/>
  <c r="DP42" i="1"/>
  <c r="CG43" i="1"/>
  <c r="DP43" i="1" s="1"/>
  <c r="DO45" i="1"/>
  <c r="CR92" i="1"/>
  <c r="CG54" i="1"/>
  <c r="DP54" i="1" s="1"/>
  <c r="BZ90" i="1"/>
  <c r="CD93" i="1"/>
  <c r="CJ93" i="1"/>
  <c r="CS93" i="1"/>
  <c r="DP50" i="1"/>
  <c r="DQ50" i="1" s="1"/>
  <c r="DP40" i="1" l="1"/>
  <c r="DQ65" i="1"/>
  <c r="DP45" i="1"/>
  <c r="DS63" i="1"/>
  <c r="DQ42" i="1"/>
  <c r="DR42" i="1" s="1"/>
  <c r="DT56" i="1"/>
  <c r="DP41" i="1"/>
  <c r="DP68" i="1"/>
  <c r="DR48" i="1"/>
  <c r="DP44" i="1"/>
  <c r="DR57" i="1"/>
  <c r="DS57" i="1" s="1"/>
  <c r="DQ39" i="1"/>
  <c r="DR39" i="1" s="1"/>
  <c r="DQ54" i="1"/>
  <c r="BZ89" i="1"/>
  <c r="BX91" i="1"/>
  <c r="CI39" i="1"/>
  <c r="CD92" i="1"/>
  <c r="CC92" i="1"/>
  <c r="CN90" i="1"/>
  <c r="CH64" i="1"/>
  <c r="DQ64" i="1" s="1"/>
  <c r="CL56" i="1"/>
  <c r="CK63" i="1"/>
  <c r="DT63" i="1" s="1"/>
  <c r="CS92" i="1"/>
  <c r="CI62" i="1"/>
  <c r="DR62" i="1" s="1"/>
  <c r="CJ57" i="1"/>
  <c r="CJ58" i="1"/>
  <c r="CQ90" i="1"/>
  <c r="CB92" i="1"/>
  <c r="CK46" i="1"/>
  <c r="DT46" i="1" s="1"/>
  <c r="CH54" i="1"/>
  <c r="CO92" i="1"/>
  <c r="CH69" i="1"/>
  <c r="BY90" i="1"/>
  <c r="CP90" i="1"/>
  <c r="CM92" i="1"/>
  <c r="CI52" i="1"/>
  <c r="CI66" i="1"/>
  <c r="CI42" i="1"/>
  <c r="CI50" i="1"/>
  <c r="CH47" i="1"/>
  <c r="DR58" i="1"/>
  <c r="DR50" i="1"/>
  <c r="CH40" i="1"/>
  <c r="CW91" i="1"/>
  <c r="CJ92" i="1"/>
  <c r="CR91" i="1"/>
  <c r="CI91" i="1"/>
  <c r="DP59" i="1"/>
  <c r="CU90" i="1"/>
  <c r="CE92" i="1"/>
  <c r="CF90" i="1"/>
  <c r="CH67" i="1"/>
  <c r="CH59" i="1"/>
  <c r="CV91" i="1"/>
  <c r="CH41" i="1"/>
  <c r="CH91" i="1"/>
  <c r="CH68" i="1"/>
  <c r="CT92" i="1"/>
  <c r="CY91" i="1"/>
  <c r="DR66" i="1"/>
  <c r="CI49" i="1"/>
  <c r="DR49" i="1" s="1"/>
  <c r="CA92" i="1"/>
  <c r="CK53" i="1"/>
  <c r="DQ52" i="1"/>
  <c r="CG92" i="1"/>
  <c r="CH43" i="1"/>
  <c r="DQ43" i="1" s="1"/>
  <c r="CH51" i="1"/>
  <c r="DQ51" i="1" s="1"/>
  <c r="CK90" i="1"/>
  <c r="BW92" i="1"/>
  <c r="CH45" i="1"/>
  <c r="DQ45" i="1" s="1"/>
  <c r="CI60" i="1"/>
  <c r="CJ48" i="1"/>
  <c r="CK61" i="1"/>
  <c r="CX91" i="1"/>
  <c r="DS61" i="1"/>
  <c r="CL92" i="1"/>
  <c r="CI55" i="1"/>
  <c r="DR55" i="1" s="1"/>
  <c r="CH44" i="1"/>
  <c r="CI65" i="1"/>
  <c r="DP69" i="1"/>
  <c r="DP67" i="1"/>
  <c r="DU56" i="1" l="1"/>
  <c r="DR65" i="1"/>
  <c r="DQ59" i="1"/>
  <c r="DQ67" i="1"/>
  <c r="CL53" i="1"/>
  <c r="CI47" i="1"/>
  <c r="CI69" i="1"/>
  <c r="CL61" i="1"/>
  <c r="CI68" i="1"/>
  <c r="CI40" i="1"/>
  <c r="CL91" i="1"/>
  <c r="CK89" i="1"/>
  <c r="CG91" i="1"/>
  <c r="CJ49" i="1"/>
  <c r="DS49" i="1" s="1"/>
  <c r="CE91" i="1"/>
  <c r="CJ42" i="1"/>
  <c r="CP89" i="1"/>
  <c r="CI54" i="1"/>
  <c r="CB91" i="1"/>
  <c r="CD91" i="1"/>
  <c r="DQ47" i="1"/>
  <c r="CI44" i="1"/>
  <c r="CK48" i="1"/>
  <c r="CM56" i="1"/>
  <c r="CJ60" i="1"/>
  <c r="CR90" i="1"/>
  <c r="DQ40" i="1"/>
  <c r="CJ62" i="1"/>
  <c r="CI64" i="1"/>
  <c r="CJ52" i="1"/>
  <c r="BX90" i="1"/>
  <c r="CI59" i="1"/>
  <c r="CK57" i="1"/>
  <c r="DQ69" i="1"/>
  <c r="CH90" i="1"/>
  <c r="CJ65" i="1"/>
  <c r="DT61" i="1"/>
  <c r="CI51" i="1"/>
  <c r="CI67" i="1"/>
  <c r="CU89" i="1"/>
  <c r="CJ66" i="1"/>
  <c r="BY89" i="1"/>
  <c r="DQ44" i="1"/>
  <c r="CQ89" i="1"/>
  <c r="CJ39" i="1"/>
  <c r="DS39" i="1" s="1"/>
  <c r="CI43" i="1"/>
  <c r="DS42" i="1"/>
  <c r="CX90" i="1"/>
  <c r="CI45" i="1"/>
  <c r="DR45" i="1" s="1"/>
  <c r="DR52" i="1"/>
  <c r="CY90" i="1"/>
  <c r="CI41" i="1"/>
  <c r="CJ91" i="1"/>
  <c r="DS58" i="1"/>
  <c r="DT58" i="1" s="1"/>
  <c r="DS48" i="1"/>
  <c r="CS91" i="1"/>
  <c r="CN89" i="1"/>
  <c r="DQ68" i="1"/>
  <c r="CF89" i="1"/>
  <c r="CT91" i="1"/>
  <c r="CV90" i="1"/>
  <c r="CI90" i="1"/>
  <c r="CW90" i="1"/>
  <c r="CL46" i="1"/>
  <c r="DU46" i="1" s="1"/>
  <c r="CK58" i="1"/>
  <c r="CL63" i="1"/>
  <c r="DU63" i="1" s="1"/>
  <c r="DR64" i="1"/>
  <c r="DR54" i="1"/>
  <c r="CJ55" i="1"/>
  <c r="BW91" i="1"/>
  <c r="DQ41" i="1"/>
  <c r="CA91" i="1"/>
  <c r="DT53" i="1"/>
  <c r="DU53" i="1" s="1"/>
  <c r="CJ50" i="1"/>
  <c r="CM91" i="1"/>
  <c r="CO91" i="1"/>
  <c r="CC91" i="1"/>
  <c r="BZ88" i="1"/>
  <c r="DR60" i="1"/>
  <c r="DU61" i="1" l="1"/>
  <c r="DR68" i="1"/>
  <c r="DS68" i="1" s="1"/>
  <c r="CJ51" i="1"/>
  <c r="CE90" i="1"/>
  <c r="CM90" i="1"/>
  <c r="CL58" i="1"/>
  <c r="DU58" i="1" s="1"/>
  <c r="CJ41" i="1"/>
  <c r="CU88" i="1"/>
  <c r="CJ59" i="1"/>
  <c r="CJ44" i="1"/>
  <c r="CJ47" i="1"/>
  <c r="DS60" i="1"/>
  <c r="CP88" i="1"/>
  <c r="CG90" i="1"/>
  <c r="CF88" i="1"/>
  <c r="CR89" i="1"/>
  <c r="CV89" i="1"/>
  <c r="CK60" i="1"/>
  <c r="CK50" i="1"/>
  <c r="CT90" i="1"/>
  <c r="CH89" i="1"/>
  <c r="CK62" i="1"/>
  <c r="CN56" i="1"/>
  <c r="DR47" i="1"/>
  <c r="CJ68" i="1"/>
  <c r="CM53" i="1"/>
  <c r="CL57" i="1"/>
  <c r="CL48" i="1"/>
  <c r="BW90" i="1"/>
  <c r="CN88" i="1"/>
  <c r="CQ88" i="1"/>
  <c r="CK65" i="1"/>
  <c r="CJ64" i="1"/>
  <c r="DS64" i="1" s="1"/>
  <c r="CJ40" i="1"/>
  <c r="BZ87" i="1"/>
  <c r="CK55" i="1"/>
  <c r="CM46" i="1"/>
  <c r="CS90" i="1"/>
  <c r="CY89" i="1"/>
  <c r="DR44" i="1"/>
  <c r="CJ67" i="1"/>
  <c r="DT57" i="1"/>
  <c r="DV56" i="1"/>
  <c r="BY88" i="1"/>
  <c r="BX89" i="1"/>
  <c r="CD90" i="1"/>
  <c r="CK42" i="1"/>
  <c r="CK88" i="1"/>
  <c r="CK66" i="1"/>
  <c r="CL90" i="1"/>
  <c r="CC90" i="1"/>
  <c r="DV53" i="1"/>
  <c r="CW89" i="1"/>
  <c r="DT48" i="1"/>
  <c r="DS52" i="1"/>
  <c r="CJ43" i="1"/>
  <c r="DS66" i="1"/>
  <c r="DT66" i="1" s="1"/>
  <c r="DR69" i="1"/>
  <c r="DR40" i="1"/>
  <c r="CM61" i="1"/>
  <c r="CA90" i="1"/>
  <c r="CJ45" i="1"/>
  <c r="CK52" i="1"/>
  <c r="CB90" i="1"/>
  <c r="CO90" i="1"/>
  <c r="CM63" i="1"/>
  <c r="DV63" i="1" s="1"/>
  <c r="CI89" i="1"/>
  <c r="CJ90" i="1"/>
  <c r="CK39" i="1"/>
  <c r="CJ69" i="1"/>
  <c r="DS65" i="1"/>
  <c r="DT65" i="1" s="1"/>
  <c r="DR41" i="1"/>
  <c r="CX89" i="1"/>
  <c r="DS50" i="1"/>
  <c r="DS55" i="1"/>
  <c r="DR59" i="1"/>
  <c r="DR51" i="1"/>
  <c r="DS51" i="1" s="1"/>
  <c r="DS62" i="1"/>
  <c r="CJ54" i="1"/>
  <c r="CK49" i="1"/>
  <c r="DT49" i="1" s="1"/>
  <c r="DR67" i="1"/>
  <c r="DS67" i="1" s="1"/>
  <c r="DR43" i="1"/>
  <c r="DW56" i="1" l="1"/>
  <c r="DS59" i="1"/>
  <c r="DT50" i="1"/>
  <c r="DS41" i="1"/>
  <c r="DT41" i="1" s="1"/>
  <c r="DV61" i="1"/>
  <c r="DU57" i="1"/>
  <c r="DS47" i="1"/>
  <c r="DT55" i="1"/>
  <c r="DU55" i="1" s="1"/>
  <c r="DU48" i="1"/>
  <c r="DV48" i="1" s="1"/>
  <c r="CO89" i="1"/>
  <c r="CL60" i="1"/>
  <c r="CL42" i="1"/>
  <c r="CI88" i="1"/>
  <c r="CL55" i="1"/>
  <c r="CL65" i="1"/>
  <c r="CM48" i="1"/>
  <c r="CT89" i="1"/>
  <c r="CR88" i="1"/>
  <c r="DT42" i="1"/>
  <c r="CU87" i="1"/>
  <c r="CE89" i="1"/>
  <c r="CK40" i="1"/>
  <c r="CM58" i="1"/>
  <c r="DV58" i="1" s="1"/>
  <c r="CK54" i="1"/>
  <c r="CL52" i="1"/>
  <c r="CW88" i="1"/>
  <c r="CL66" i="1"/>
  <c r="DU66" i="1" s="1"/>
  <c r="BX88" i="1"/>
  <c r="DS44" i="1"/>
  <c r="DT60" i="1"/>
  <c r="CG89" i="1"/>
  <c r="CX88" i="1"/>
  <c r="CK43" i="1"/>
  <c r="DS43" i="1"/>
  <c r="CK69" i="1"/>
  <c r="DS40" i="1"/>
  <c r="CY88" i="1"/>
  <c r="BZ86" i="1"/>
  <c r="CQ87" i="1"/>
  <c r="CM57" i="1"/>
  <c r="CO56" i="1"/>
  <c r="CL50" i="1"/>
  <c r="CF87" i="1"/>
  <c r="CK47" i="1"/>
  <c r="CK41" i="1"/>
  <c r="CK51" i="1"/>
  <c r="DT51" i="1" s="1"/>
  <c r="CS89" i="1"/>
  <c r="CC89" i="1"/>
  <c r="CN63" i="1"/>
  <c r="DW63" i="1" s="1"/>
  <c r="CL49" i="1"/>
  <c r="DU49" i="1" s="1"/>
  <c r="CK45" i="1"/>
  <c r="DS69" i="1"/>
  <c r="DS54" i="1"/>
  <c r="DT54" i="1" s="1"/>
  <c r="CK87" i="1"/>
  <c r="BY87" i="1"/>
  <c r="CN87" i="1"/>
  <c r="CK44" i="1"/>
  <c r="CA89" i="1"/>
  <c r="CJ89" i="1"/>
  <c r="CN46" i="1"/>
  <c r="CK64" i="1"/>
  <c r="BW89" i="1"/>
  <c r="CH88" i="1"/>
  <c r="CV88" i="1"/>
  <c r="CP87" i="1"/>
  <c r="CK59" i="1"/>
  <c r="CM89" i="1"/>
  <c r="DS45" i="1"/>
  <c r="DT45" i="1" s="1"/>
  <c r="CL39" i="1"/>
  <c r="CL62" i="1"/>
  <c r="CN53" i="1"/>
  <c r="DT39" i="1"/>
  <c r="DT62" i="1"/>
  <c r="CB89" i="1"/>
  <c r="CN61" i="1"/>
  <c r="DT52" i="1"/>
  <c r="DU52" i="1" s="1"/>
  <c r="CL89" i="1"/>
  <c r="CD89" i="1"/>
  <c r="CK67" i="1"/>
  <c r="DT67" i="1" s="1"/>
  <c r="CK68" i="1"/>
  <c r="DV46" i="1"/>
  <c r="DT59" i="1" l="1"/>
  <c r="DU50" i="1"/>
  <c r="DX56" i="1"/>
  <c r="DV57" i="1"/>
  <c r="DU42" i="1"/>
  <c r="DT47" i="1"/>
  <c r="DW46" i="1"/>
  <c r="DU62" i="1"/>
  <c r="DU60" i="1"/>
  <c r="CV87" i="1"/>
  <c r="CO46" i="1"/>
  <c r="CF86" i="1"/>
  <c r="CQ86" i="1"/>
  <c r="CN58" i="1"/>
  <c r="DW58" i="1" s="1"/>
  <c r="CM65" i="1"/>
  <c r="CG88" i="1"/>
  <c r="CN86" i="1"/>
  <c r="DT69" i="1"/>
  <c r="CW87" i="1"/>
  <c r="CM42" i="1"/>
  <c r="CL44" i="1"/>
  <c r="CO61" i="1"/>
  <c r="CO53" i="1"/>
  <c r="CM88" i="1"/>
  <c r="CH87" i="1"/>
  <c r="CL45" i="1"/>
  <c r="CL51" i="1"/>
  <c r="CM50" i="1"/>
  <c r="BZ85" i="1"/>
  <c r="DT43" i="1"/>
  <c r="DU43" i="1" s="1"/>
  <c r="CL40" i="1"/>
  <c r="CR87" i="1"/>
  <c r="CM55" i="1"/>
  <c r="CL88" i="1"/>
  <c r="CO63" i="1"/>
  <c r="CU86" i="1"/>
  <c r="CL68" i="1"/>
  <c r="CJ88" i="1"/>
  <c r="DW53" i="1"/>
  <c r="DX53" i="1" s="1"/>
  <c r="CL43" i="1"/>
  <c r="CM52" i="1"/>
  <c r="DV52" i="1" s="1"/>
  <c r="CM60" i="1"/>
  <c r="CB88" i="1"/>
  <c r="CL59" i="1"/>
  <c r="BW88" i="1"/>
  <c r="BY86" i="1"/>
  <c r="DW61" i="1"/>
  <c r="CC88" i="1"/>
  <c r="CL41" i="1"/>
  <c r="DU41" i="1" s="1"/>
  <c r="CP56" i="1"/>
  <c r="CY87" i="1"/>
  <c r="DT44" i="1"/>
  <c r="CT88" i="1"/>
  <c r="CL69" i="1"/>
  <c r="DU39" i="1"/>
  <c r="CL67" i="1"/>
  <c r="DU67" i="1" s="1"/>
  <c r="CD88" i="1"/>
  <c r="CM62" i="1"/>
  <c r="CA88" i="1"/>
  <c r="CM49" i="1"/>
  <c r="DV49" i="1" s="1"/>
  <c r="CX87" i="1"/>
  <c r="BX87" i="1"/>
  <c r="DU65" i="1"/>
  <c r="CE88" i="1"/>
  <c r="CI87" i="1"/>
  <c r="CO88" i="1"/>
  <c r="CM39" i="1"/>
  <c r="CS88" i="1"/>
  <c r="CM66" i="1"/>
  <c r="DT68" i="1"/>
  <c r="CP86" i="1"/>
  <c r="CL64" i="1"/>
  <c r="CK86" i="1"/>
  <c r="DT64" i="1"/>
  <c r="CL47" i="1"/>
  <c r="CN57" i="1"/>
  <c r="DT40" i="1"/>
  <c r="CL54" i="1"/>
  <c r="CN48" i="1"/>
  <c r="DY56" i="1" l="1"/>
  <c r="DZ56" i="1" s="1"/>
  <c r="DW57" i="1"/>
  <c r="DX46" i="1"/>
  <c r="DU44" i="1"/>
  <c r="DV44" i="1" s="1"/>
  <c r="DV65" i="1"/>
  <c r="DU68" i="1"/>
  <c r="DX61" i="1"/>
  <c r="CP85" i="1"/>
  <c r="BY85" i="1"/>
  <c r="CN42" i="1"/>
  <c r="CM47" i="1"/>
  <c r="BX86" i="1"/>
  <c r="CN62" i="1"/>
  <c r="CQ56" i="1"/>
  <c r="CN85" i="1"/>
  <c r="CV86" i="1"/>
  <c r="CM51" i="1"/>
  <c r="CO48" i="1"/>
  <c r="CO87" i="1"/>
  <c r="DV62" i="1"/>
  <c r="BW87" i="1"/>
  <c r="CN60" i="1"/>
  <c r="CJ87" i="1"/>
  <c r="CL87" i="1"/>
  <c r="DV60" i="1"/>
  <c r="CP53" i="1"/>
  <c r="DY53" i="1" s="1"/>
  <c r="DV42" i="1"/>
  <c r="CQ85" i="1"/>
  <c r="DU64" i="1"/>
  <c r="CX86" i="1"/>
  <c r="CD87" i="1"/>
  <c r="DW48" i="1"/>
  <c r="CM41" i="1"/>
  <c r="DV41" i="1" s="1"/>
  <c r="CM45" i="1"/>
  <c r="CW86" i="1"/>
  <c r="DU45" i="1"/>
  <c r="CM40" i="1"/>
  <c r="CM54" i="1"/>
  <c r="CK85" i="1"/>
  <c r="CN66" i="1"/>
  <c r="CI86" i="1"/>
  <c r="CT87" i="1"/>
  <c r="CM59" i="1"/>
  <c r="CN52" i="1"/>
  <c r="CM68" i="1"/>
  <c r="CN55" i="1"/>
  <c r="BZ84" i="1"/>
  <c r="CP61" i="1"/>
  <c r="CG87" i="1"/>
  <c r="CF85" i="1"/>
  <c r="DU51" i="1"/>
  <c r="DV51" i="1" s="1"/>
  <c r="DU69" i="1"/>
  <c r="CN49" i="1"/>
  <c r="CM67" i="1"/>
  <c r="DV67" i="1" s="1"/>
  <c r="CC87" i="1"/>
  <c r="DU59" i="1"/>
  <c r="DV59" i="1" s="1"/>
  <c r="CM69" i="1"/>
  <c r="CM87" i="1"/>
  <c r="DU40" i="1"/>
  <c r="DV40" i="1" s="1"/>
  <c r="CS87" i="1"/>
  <c r="DU47" i="1"/>
  <c r="CU85" i="1"/>
  <c r="CR86" i="1"/>
  <c r="CN50" i="1"/>
  <c r="CH86" i="1"/>
  <c r="CM44" i="1"/>
  <c r="DV50" i="1"/>
  <c r="CN65" i="1"/>
  <c r="DU54" i="1"/>
  <c r="DV54" i="1" s="1"/>
  <c r="DV66" i="1"/>
  <c r="DW66" i="1" s="1"/>
  <c r="CN39" i="1"/>
  <c r="CP63" i="1"/>
  <c r="CO58" i="1"/>
  <c r="CM64" i="1"/>
  <c r="CE87" i="1"/>
  <c r="CO57" i="1"/>
  <c r="CA87" i="1"/>
  <c r="DV39" i="1"/>
  <c r="DW39" i="1" s="1"/>
  <c r="CY86" i="1"/>
  <c r="CB87" i="1"/>
  <c r="CM43" i="1"/>
  <c r="DV55" i="1"/>
  <c r="CP46" i="1"/>
  <c r="DY46" i="1" s="1"/>
  <c r="DX63" i="1"/>
  <c r="DY63" i="1" s="1"/>
  <c r="DX57" i="1" l="1"/>
  <c r="DW62" i="1"/>
  <c r="DY61" i="1"/>
  <c r="DV68" i="1"/>
  <c r="DW55" i="1"/>
  <c r="DW42" i="1"/>
  <c r="DX42" i="1" s="1"/>
  <c r="CO65" i="1"/>
  <c r="CT86" i="1"/>
  <c r="CN44" i="1"/>
  <c r="DW44" i="1" s="1"/>
  <c r="CU84" i="1"/>
  <c r="CM86" i="1"/>
  <c r="CN41" i="1"/>
  <c r="DW41" i="1" s="1"/>
  <c r="DV64" i="1"/>
  <c r="CL86" i="1"/>
  <c r="DW65" i="1"/>
  <c r="CO62" i="1"/>
  <c r="BY84" i="1"/>
  <c r="CN47" i="1"/>
  <c r="CE86" i="1"/>
  <c r="CO39" i="1"/>
  <c r="DX39" i="1" s="1"/>
  <c r="CO49" i="1"/>
  <c r="CQ61" i="1"/>
  <c r="CO52" i="1"/>
  <c r="CO66" i="1"/>
  <c r="DX66" i="1" s="1"/>
  <c r="CO86" i="1"/>
  <c r="CV85" i="1"/>
  <c r="CP48" i="1"/>
  <c r="CP58" i="1"/>
  <c r="CC86" i="1"/>
  <c r="CY85" i="1"/>
  <c r="CH85" i="1"/>
  <c r="DV47" i="1"/>
  <c r="CN69" i="1"/>
  <c r="DV45" i="1"/>
  <c r="DX48" i="1"/>
  <c r="DY48" i="1" s="1"/>
  <c r="CQ84" i="1"/>
  <c r="CJ86" i="1"/>
  <c r="BX85" i="1"/>
  <c r="CP84" i="1"/>
  <c r="CO50" i="1"/>
  <c r="CQ46" i="1"/>
  <c r="CN64" i="1"/>
  <c r="DV69" i="1"/>
  <c r="BZ83" i="1"/>
  <c r="CN59" i="1"/>
  <c r="DW59" i="1" s="1"/>
  <c r="CK84" i="1"/>
  <c r="CW85" i="1"/>
  <c r="CD86" i="1"/>
  <c r="CN84" i="1"/>
  <c r="CO60" i="1"/>
  <c r="CN43" i="1"/>
  <c r="CS86" i="1"/>
  <c r="CF84" i="1"/>
  <c r="CN54" i="1"/>
  <c r="DW54" i="1" s="1"/>
  <c r="CN45" i="1"/>
  <c r="CX85" i="1"/>
  <c r="CQ53" i="1"/>
  <c r="CR85" i="1"/>
  <c r="BW86" i="1"/>
  <c r="CN51" i="1"/>
  <c r="CR56" i="1"/>
  <c r="CO42" i="1"/>
  <c r="DW49" i="1"/>
  <c r="CA86" i="1"/>
  <c r="CO55" i="1"/>
  <c r="CB86" i="1"/>
  <c r="CP57" i="1"/>
  <c r="CQ63" i="1"/>
  <c r="DZ63" i="1" s="1"/>
  <c r="DW50" i="1"/>
  <c r="DX50" i="1" s="1"/>
  <c r="CN67" i="1"/>
  <c r="CG86" i="1"/>
  <c r="CN68" i="1"/>
  <c r="CI85" i="1"/>
  <c r="CN40" i="1"/>
  <c r="DV43" i="1"/>
  <c r="DW43" i="1" s="1"/>
  <c r="DW52" i="1"/>
  <c r="DW60" i="1"/>
  <c r="DX60" i="1" s="1"/>
  <c r="DX58" i="1"/>
  <c r="DY58" i="1" s="1"/>
  <c r="DX62" i="1" l="1"/>
  <c r="DX65" i="1"/>
  <c r="DY65" i="1" s="1"/>
  <c r="DX52" i="1"/>
  <c r="DX49" i="1"/>
  <c r="CO69" i="1"/>
  <c r="CO43" i="1"/>
  <c r="CP55" i="1"/>
  <c r="CS56" i="1"/>
  <c r="EA56" i="1"/>
  <c r="EB56" i="1" s="1"/>
  <c r="CQ83" i="1"/>
  <c r="BY83" i="1"/>
  <c r="DW64" i="1"/>
  <c r="BX84" i="1"/>
  <c r="CR63" i="1"/>
  <c r="CR53" i="1"/>
  <c r="CF83" i="1"/>
  <c r="CK83" i="1"/>
  <c r="CY84" i="1"/>
  <c r="CP52" i="1"/>
  <c r="CE85" i="1"/>
  <c r="CO41" i="1"/>
  <c r="DX41" i="1" s="1"/>
  <c r="CT85" i="1"/>
  <c r="CB85" i="1"/>
  <c r="CA85" i="1"/>
  <c r="CO51" i="1"/>
  <c r="DX55" i="1"/>
  <c r="CO64" i="1"/>
  <c r="CP83" i="1"/>
  <c r="CV84" i="1"/>
  <c r="CP62" i="1"/>
  <c r="CR46" i="1"/>
  <c r="CO68" i="1"/>
  <c r="DY52" i="1"/>
  <c r="CG85" i="1"/>
  <c r="CQ57" i="1"/>
  <c r="CX84" i="1"/>
  <c r="CS85" i="1"/>
  <c r="CN83" i="1"/>
  <c r="CO59" i="1"/>
  <c r="DW45" i="1"/>
  <c r="CC85" i="1"/>
  <c r="CR61" i="1"/>
  <c r="DZ61" i="1"/>
  <c r="CM85" i="1"/>
  <c r="CP65" i="1"/>
  <c r="CO67" i="1"/>
  <c r="CD85" i="1"/>
  <c r="CQ58" i="1"/>
  <c r="CO47" i="1"/>
  <c r="CP42" i="1"/>
  <c r="DY42" i="1" s="1"/>
  <c r="CR84" i="1"/>
  <c r="DY57" i="1"/>
  <c r="CJ85" i="1"/>
  <c r="DW47" i="1"/>
  <c r="DX47" i="1" s="1"/>
  <c r="DW67" i="1"/>
  <c r="CL85" i="1"/>
  <c r="DZ46" i="1"/>
  <c r="BW85" i="1"/>
  <c r="CO85" i="1"/>
  <c r="CO40" i="1"/>
  <c r="CO45" i="1"/>
  <c r="BZ82" i="1"/>
  <c r="CP49" i="1"/>
  <c r="CU83" i="1"/>
  <c r="CI84" i="1"/>
  <c r="DW40" i="1"/>
  <c r="DZ53" i="1"/>
  <c r="EA53" i="1" s="1"/>
  <c r="CO54" i="1"/>
  <c r="CP60" i="1"/>
  <c r="DY60" i="1" s="1"/>
  <c r="CW84" i="1"/>
  <c r="DW69" i="1"/>
  <c r="CP50" i="1"/>
  <c r="DY50" i="1" s="1"/>
  <c r="CH84" i="1"/>
  <c r="CQ48" i="1"/>
  <c r="CP66" i="1"/>
  <c r="DY66" i="1" s="1"/>
  <c r="CP39" i="1"/>
  <c r="DY39" i="1" s="1"/>
  <c r="DW51" i="1"/>
  <c r="DX51" i="1" s="1"/>
  <c r="CO44" i="1"/>
  <c r="DX44" i="1" s="1"/>
  <c r="DW68" i="1"/>
  <c r="DY62" i="1" l="1"/>
  <c r="DX67" i="1"/>
  <c r="DY55" i="1"/>
  <c r="DZ57" i="1"/>
  <c r="EA46" i="1"/>
  <c r="DX68" i="1"/>
  <c r="CQ49" i="1"/>
  <c r="CS84" i="1"/>
  <c r="CW83" i="1"/>
  <c r="CI83" i="1"/>
  <c r="CR58" i="1"/>
  <c r="DX45" i="1"/>
  <c r="DY49" i="1"/>
  <c r="CP82" i="1"/>
  <c r="BY82" i="1"/>
  <c r="CQ55" i="1"/>
  <c r="CS61" i="1"/>
  <c r="CR48" i="1"/>
  <c r="CP45" i="1"/>
  <c r="CR83" i="1"/>
  <c r="CM84" i="1"/>
  <c r="CP59" i="1"/>
  <c r="CR57" i="1"/>
  <c r="CS46" i="1"/>
  <c r="CE84" i="1"/>
  <c r="CS63" i="1"/>
  <c r="CP44" i="1"/>
  <c r="CQ60" i="1"/>
  <c r="CU82" i="1"/>
  <c r="CL84" i="1"/>
  <c r="CD84" i="1"/>
  <c r="CP64" i="1"/>
  <c r="CB84" i="1"/>
  <c r="CK82" i="1"/>
  <c r="CQ82" i="1"/>
  <c r="CP67" i="1"/>
  <c r="BX83" i="1"/>
  <c r="CQ39" i="1"/>
  <c r="CV83" i="1"/>
  <c r="CH83" i="1"/>
  <c r="CP40" i="1"/>
  <c r="CQ42" i="1"/>
  <c r="DZ42" i="1" s="1"/>
  <c r="EA61" i="1"/>
  <c r="EB61" i="1" s="1"/>
  <c r="CN82" i="1"/>
  <c r="CG84" i="1"/>
  <c r="CQ62" i="1"/>
  <c r="CQ52" i="1"/>
  <c r="DZ58" i="1"/>
  <c r="CP43" i="1"/>
  <c r="CT84" i="1"/>
  <c r="CF82" i="1"/>
  <c r="CP69" i="1"/>
  <c r="CJ84" i="1"/>
  <c r="CP47" i="1"/>
  <c r="EA63" i="1"/>
  <c r="CC84" i="1"/>
  <c r="CP68" i="1"/>
  <c r="CY83" i="1"/>
  <c r="DX59" i="1"/>
  <c r="DY59" i="1" s="1"/>
  <c r="CT56" i="1"/>
  <c r="CP54" i="1"/>
  <c r="CQ50" i="1"/>
  <c r="CO84" i="1"/>
  <c r="CP51" i="1"/>
  <c r="DX54" i="1"/>
  <c r="DY54" i="1" s="1"/>
  <c r="CQ66" i="1"/>
  <c r="DX69" i="1"/>
  <c r="DX40" i="1"/>
  <c r="BZ81" i="1"/>
  <c r="BW84" i="1"/>
  <c r="CQ65" i="1"/>
  <c r="CX83" i="1"/>
  <c r="DZ48" i="1"/>
  <c r="CA84" i="1"/>
  <c r="CP41" i="1"/>
  <c r="CS53" i="1"/>
  <c r="DX64" i="1"/>
  <c r="DX43" i="1"/>
  <c r="DZ62" i="1" l="1"/>
  <c r="EA57" i="1"/>
  <c r="EA48" i="1"/>
  <c r="DY68" i="1"/>
  <c r="EB63" i="1"/>
  <c r="DY43" i="1"/>
  <c r="DY64" i="1"/>
  <c r="EA58" i="1"/>
  <c r="DY40" i="1"/>
  <c r="BZ80" i="1"/>
  <c r="CQ51" i="1"/>
  <c r="CC83" i="1"/>
  <c r="CQ69" i="1"/>
  <c r="CG83" i="1"/>
  <c r="CB83" i="1"/>
  <c r="CU81" i="1"/>
  <c r="CT63" i="1"/>
  <c r="CQ59" i="1"/>
  <c r="CR55" i="1"/>
  <c r="CS58" i="1"/>
  <c r="CU56" i="1"/>
  <c r="CQ43" i="1"/>
  <c r="CH82" i="1"/>
  <c r="CQ67" i="1"/>
  <c r="CS48" i="1"/>
  <c r="CR49" i="1"/>
  <c r="CO83" i="1"/>
  <c r="CF81" i="1"/>
  <c r="CN81" i="1"/>
  <c r="CQ64" i="1"/>
  <c r="CR60" i="1"/>
  <c r="CE83" i="1"/>
  <c r="CM83" i="1"/>
  <c r="BY81" i="1"/>
  <c r="CT53" i="1"/>
  <c r="DY69" i="1"/>
  <c r="DZ69" i="1" s="1"/>
  <c r="DZ59" i="1"/>
  <c r="CQ47" i="1"/>
  <c r="CV82" i="1"/>
  <c r="DY51" i="1"/>
  <c r="CI82" i="1"/>
  <c r="DZ55" i="1"/>
  <c r="EA55" i="1" s="1"/>
  <c r="CR66" i="1"/>
  <c r="CR50" i="1"/>
  <c r="CY82" i="1"/>
  <c r="CT83" i="1"/>
  <c r="CR52" i="1"/>
  <c r="CQ81" i="1"/>
  <c r="CD83" i="1"/>
  <c r="CQ44" i="1"/>
  <c r="CT46" i="1"/>
  <c r="CR82" i="1"/>
  <c r="CP81" i="1"/>
  <c r="DZ50" i="1"/>
  <c r="CR65" i="1"/>
  <c r="CQ41" i="1"/>
  <c r="CJ83" i="1"/>
  <c r="CR42" i="1"/>
  <c r="CR39" i="1"/>
  <c r="CT61" i="1"/>
  <c r="CW82" i="1"/>
  <c r="DZ66" i="1"/>
  <c r="CX82" i="1"/>
  <c r="BW83" i="1"/>
  <c r="DY41" i="1"/>
  <c r="EC56" i="1"/>
  <c r="CQ68" i="1"/>
  <c r="DY47" i="1"/>
  <c r="DZ47" i="1" s="1"/>
  <c r="CR62" i="1"/>
  <c r="CK81" i="1"/>
  <c r="CL83" i="1"/>
  <c r="DZ52" i="1"/>
  <c r="CS57" i="1"/>
  <c r="EB46" i="1"/>
  <c r="EC46" i="1" s="1"/>
  <c r="DZ49" i="1"/>
  <c r="EA49" i="1" s="1"/>
  <c r="DZ60" i="1"/>
  <c r="CA83" i="1"/>
  <c r="CQ54" i="1"/>
  <c r="DZ54" i="1" s="1"/>
  <c r="EB53" i="1"/>
  <c r="DZ65" i="1"/>
  <c r="EA65" i="1" s="1"/>
  <c r="CQ40" i="1"/>
  <c r="BX82" i="1"/>
  <c r="DY44" i="1"/>
  <c r="CQ45" i="1"/>
  <c r="DY67" i="1"/>
  <c r="DY45" i="1"/>
  <c r="CS83" i="1"/>
  <c r="DZ39" i="1"/>
  <c r="EA62" i="1" l="1"/>
  <c r="DZ64" i="1"/>
  <c r="EC53" i="1"/>
  <c r="EA39" i="1"/>
  <c r="DZ41" i="1"/>
  <c r="EA60" i="1"/>
  <c r="DZ51" i="1"/>
  <c r="EA51" i="1" s="1"/>
  <c r="ED56" i="1"/>
  <c r="DZ67" i="1"/>
  <c r="DZ40" i="1"/>
  <c r="EB58" i="1"/>
  <c r="DZ44" i="1"/>
  <c r="EA50" i="1"/>
  <c r="EA66" i="1"/>
  <c r="DZ45" i="1"/>
  <c r="EA52" i="1"/>
  <c r="CT57" i="1"/>
  <c r="CX81" i="1"/>
  <c r="CS52" i="1"/>
  <c r="CS66" i="1"/>
  <c r="BY80" i="1"/>
  <c r="CR64" i="1"/>
  <c r="CC82" i="1"/>
  <c r="CS42" i="1"/>
  <c r="CR44" i="1"/>
  <c r="CR47" i="1"/>
  <c r="EA47" i="1" s="1"/>
  <c r="CS49" i="1"/>
  <c r="EB49" i="1" s="1"/>
  <c r="CR43" i="1"/>
  <c r="CS55" i="1"/>
  <c r="CB82" i="1"/>
  <c r="CA82" i="1"/>
  <c r="CT82" i="1"/>
  <c r="EB55" i="1"/>
  <c r="CM82" i="1"/>
  <c r="CN80" i="1"/>
  <c r="CR51" i="1"/>
  <c r="BX81" i="1"/>
  <c r="CS82" i="1"/>
  <c r="CR68" i="1"/>
  <c r="CR40" i="1"/>
  <c r="CL82" i="1"/>
  <c r="CW81" i="1"/>
  <c r="CJ82" i="1"/>
  <c r="CP80" i="1"/>
  <c r="CD82" i="1"/>
  <c r="CI81" i="1"/>
  <c r="CT48" i="1"/>
  <c r="CV56" i="1"/>
  <c r="CR59" i="1"/>
  <c r="EA59" i="1" s="1"/>
  <c r="CG82" i="1"/>
  <c r="CY81" i="1"/>
  <c r="CE82" i="1"/>
  <c r="CF80" i="1"/>
  <c r="BZ79" i="1"/>
  <c r="CK80" i="1"/>
  <c r="CU61" i="1"/>
  <c r="CR41" i="1"/>
  <c r="EA41" i="1" s="1"/>
  <c r="CR81" i="1"/>
  <c r="CQ80" i="1"/>
  <c r="CU53" i="1"/>
  <c r="CR67" i="1"/>
  <c r="EB48" i="1"/>
  <c r="CU63" i="1"/>
  <c r="CR45" i="1"/>
  <c r="BW82" i="1"/>
  <c r="CS50" i="1"/>
  <c r="CV81" i="1"/>
  <c r="CS60" i="1"/>
  <c r="EC63" i="1"/>
  <c r="ED63" i="1" s="1"/>
  <c r="DZ43" i="1"/>
  <c r="CR69" i="1"/>
  <c r="EA69" i="1" s="1"/>
  <c r="DZ68" i="1"/>
  <c r="EA68" i="1" s="1"/>
  <c r="CR54" i="1"/>
  <c r="CS62" i="1"/>
  <c r="CS39" i="1"/>
  <c r="CS65" i="1"/>
  <c r="EB65" i="1" s="1"/>
  <c r="CU46" i="1"/>
  <c r="EC61" i="1"/>
  <c r="EB57" i="1"/>
  <c r="EC57" i="1" s="1"/>
  <c r="CO82" i="1"/>
  <c r="CH81" i="1"/>
  <c r="CT58" i="1"/>
  <c r="CU80" i="1"/>
  <c r="EA42" i="1"/>
  <c r="ED53" i="1" l="1"/>
  <c r="EA64" i="1"/>
  <c r="EC48" i="1"/>
  <c r="EA67" i="1"/>
  <c r="EA45" i="1"/>
  <c r="EB66" i="1"/>
  <c r="EA40" i="1"/>
  <c r="EC58" i="1"/>
  <c r="EA44" i="1"/>
  <c r="EB42" i="1"/>
  <c r="CT39" i="1"/>
  <c r="CV61" i="1"/>
  <c r="CF79" i="1"/>
  <c r="CU48" i="1"/>
  <c r="CS51" i="1"/>
  <c r="CT52" i="1"/>
  <c r="CT50" i="1"/>
  <c r="CJ81" i="1"/>
  <c r="CS68" i="1"/>
  <c r="EB68" i="1" s="1"/>
  <c r="EB50" i="1"/>
  <c r="CS43" i="1"/>
  <c r="CS64" i="1"/>
  <c r="CV63" i="1"/>
  <c r="EE63" i="1" s="1"/>
  <c r="CQ79" i="1"/>
  <c r="CE81" i="1"/>
  <c r="CG81" i="1"/>
  <c r="CN79" i="1"/>
  <c r="CT42" i="1"/>
  <c r="CX80" i="1"/>
  <c r="CU79" i="1"/>
  <c r="CT62" i="1"/>
  <c r="ED61" i="1"/>
  <c r="EA43" i="1"/>
  <c r="BW81" i="1"/>
  <c r="CK79" i="1"/>
  <c r="CI80" i="1"/>
  <c r="CW80" i="1"/>
  <c r="EB52" i="1"/>
  <c r="EC52" i="1" s="1"/>
  <c r="CA81" i="1"/>
  <c r="CT49" i="1"/>
  <c r="BY79" i="1"/>
  <c r="CO81" i="1"/>
  <c r="CR80" i="1"/>
  <c r="CS59" i="1"/>
  <c r="CS81" i="1"/>
  <c r="CM81" i="1"/>
  <c r="CU57" i="1"/>
  <c r="CS69" i="1"/>
  <c r="EB69" i="1" s="1"/>
  <c r="CV46" i="1"/>
  <c r="CS54" i="1"/>
  <c r="CT60" i="1"/>
  <c r="EC49" i="1"/>
  <c r="CS67" i="1"/>
  <c r="CY80" i="1"/>
  <c r="CD81" i="1"/>
  <c r="CL81" i="1"/>
  <c r="CB81" i="1"/>
  <c r="CS47" i="1"/>
  <c r="EB47" i="1" s="1"/>
  <c r="EA54" i="1"/>
  <c r="EB54" i="1" s="1"/>
  <c r="CU58" i="1"/>
  <c r="CH80" i="1"/>
  <c r="CT65" i="1"/>
  <c r="EC65" i="1" s="1"/>
  <c r="CS41" i="1"/>
  <c r="BZ78" i="1"/>
  <c r="CW56" i="1"/>
  <c r="BX80" i="1"/>
  <c r="EB39" i="1"/>
  <c r="CT66" i="1"/>
  <c r="ED46" i="1"/>
  <c r="EB60" i="1"/>
  <c r="CV80" i="1"/>
  <c r="CS45" i="1"/>
  <c r="CV53" i="1"/>
  <c r="EE53" i="1" s="1"/>
  <c r="EE56" i="1"/>
  <c r="CP79" i="1"/>
  <c r="CS40" i="1"/>
  <c r="CT81" i="1"/>
  <c r="CT55" i="1"/>
  <c r="EC55" i="1" s="1"/>
  <c r="CS44" i="1"/>
  <c r="CC81" i="1"/>
  <c r="EB62" i="1"/>
  <c r="EC62" i="1" s="1"/>
  <c r="ED48" i="1" l="1"/>
  <c r="EC39" i="1"/>
  <c r="EF56" i="1"/>
  <c r="EG56" i="1" s="1"/>
  <c r="EC60" i="1"/>
  <c r="EE61" i="1"/>
  <c r="EE46" i="1"/>
  <c r="CU66" i="1"/>
  <c r="BZ77" i="1"/>
  <c r="CL80" i="1"/>
  <c r="CT59" i="1"/>
  <c r="BY78" i="1"/>
  <c r="CU42" i="1"/>
  <c r="CE80" i="1"/>
  <c r="EC42" i="1"/>
  <c r="CT51" i="1"/>
  <c r="CT45" i="1"/>
  <c r="CV58" i="1"/>
  <c r="CU60" i="1"/>
  <c r="CV57" i="1"/>
  <c r="CI79" i="1"/>
  <c r="CU62" i="1"/>
  <c r="ED62" i="1" s="1"/>
  <c r="CT64" i="1"/>
  <c r="CJ80" i="1"/>
  <c r="CC80" i="1"/>
  <c r="CT40" i="1"/>
  <c r="CT41" i="1"/>
  <c r="CD80" i="1"/>
  <c r="CR79" i="1"/>
  <c r="CU49" i="1"/>
  <c r="EC66" i="1"/>
  <c r="ED66" i="1" s="1"/>
  <c r="EB41" i="1"/>
  <c r="EC41" i="1" s="1"/>
  <c r="CV48" i="1"/>
  <c r="CU39" i="1"/>
  <c r="CV79" i="1"/>
  <c r="CT54" i="1"/>
  <c r="EC54" i="1" s="1"/>
  <c r="CK78" i="1"/>
  <c r="CU78" i="1"/>
  <c r="CN78" i="1"/>
  <c r="CQ78" i="1"/>
  <c r="EB64" i="1"/>
  <c r="EB45" i="1"/>
  <c r="CT44" i="1"/>
  <c r="CP78" i="1"/>
  <c r="BX79" i="1"/>
  <c r="CT47" i="1"/>
  <c r="CY79" i="1"/>
  <c r="CM80" i="1"/>
  <c r="CA80" i="1"/>
  <c r="CT43" i="1"/>
  <c r="CU50" i="1"/>
  <c r="EB40" i="1"/>
  <c r="CT80" i="1"/>
  <c r="CU65" i="1"/>
  <c r="CW46" i="1"/>
  <c r="BW80" i="1"/>
  <c r="EB51" i="1"/>
  <c r="EC51" i="1" s="1"/>
  <c r="EB59" i="1"/>
  <c r="CW63" i="1"/>
  <c r="EF63" i="1" s="1"/>
  <c r="CF78" i="1"/>
  <c r="CU55" i="1"/>
  <c r="CX56" i="1"/>
  <c r="CB80" i="1"/>
  <c r="CT67" i="1"/>
  <c r="CS80" i="1"/>
  <c r="CO80" i="1"/>
  <c r="CX79" i="1"/>
  <c r="CG80" i="1"/>
  <c r="EC50" i="1"/>
  <c r="ED50" i="1" s="1"/>
  <c r="CU52" i="1"/>
  <c r="ED52" i="1" s="1"/>
  <c r="EB44" i="1"/>
  <c r="EC44" i="1" s="1"/>
  <c r="CW53" i="1"/>
  <c r="EF53" i="1" s="1"/>
  <c r="EB67" i="1"/>
  <c r="CH79" i="1"/>
  <c r="CT69" i="1"/>
  <c r="CW79" i="1"/>
  <c r="EB43" i="1"/>
  <c r="EC43" i="1" s="1"/>
  <c r="ED57" i="1"/>
  <c r="EE57" i="1" s="1"/>
  <c r="CT68" i="1"/>
  <c r="CW61" i="1"/>
  <c r="ED58" i="1"/>
  <c r="EE48" i="1" l="1"/>
  <c r="ED39" i="1"/>
  <c r="EE39" i="1" s="1"/>
  <c r="ED60" i="1"/>
  <c r="EE60" i="1" s="1"/>
  <c r="EC67" i="1"/>
  <c r="ED42" i="1"/>
  <c r="EF61" i="1"/>
  <c r="EC40" i="1"/>
  <c r="EC59" i="1"/>
  <c r="EC45" i="1"/>
  <c r="EE58" i="1"/>
  <c r="CX78" i="1"/>
  <c r="CF77" i="1"/>
  <c r="CM79" i="1"/>
  <c r="CJ79" i="1"/>
  <c r="CW57" i="1"/>
  <c r="BZ76" i="1"/>
  <c r="CB79" i="1"/>
  <c r="CX46" i="1"/>
  <c r="CV50" i="1"/>
  <c r="EE50" i="1" s="1"/>
  <c r="CP77" i="1"/>
  <c r="CN77" i="1"/>
  <c r="CU41" i="1"/>
  <c r="CU51" i="1"/>
  <c r="ED51" i="1" s="1"/>
  <c r="BY77" i="1"/>
  <c r="EE52" i="1"/>
  <c r="CX63" i="1"/>
  <c r="CY78" i="1"/>
  <c r="CV78" i="1"/>
  <c r="CU64" i="1"/>
  <c r="CV60" i="1"/>
  <c r="CV66" i="1"/>
  <c r="EE66" i="1" s="1"/>
  <c r="CX61" i="1"/>
  <c r="CU69" i="1"/>
  <c r="CV52" i="1"/>
  <c r="CO79" i="1"/>
  <c r="CY56" i="1"/>
  <c r="AJ56" i="1" s="1"/>
  <c r="BQ91" i="1" s="1"/>
  <c r="CV65" i="1"/>
  <c r="CU43" i="1"/>
  <c r="ED43" i="1" s="1"/>
  <c r="CU44" i="1"/>
  <c r="ED44" i="1" s="1"/>
  <c r="CU77" i="1"/>
  <c r="CV49" i="1"/>
  <c r="CU40" i="1"/>
  <c r="CU59" i="1"/>
  <c r="CW78" i="1"/>
  <c r="CU68" i="1"/>
  <c r="CH78" i="1"/>
  <c r="CU47" i="1"/>
  <c r="CV62" i="1"/>
  <c r="EE62" i="1" s="1"/>
  <c r="CW58" i="1"/>
  <c r="CE79" i="1"/>
  <c r="EC69" i="1"/>
  <c r="CS79" i="1"/>
  <c r="EF46" i="1"/>
  <c r="CA79" i="1"/>
  <c r="CK77" i="1"/>
  <c r="CV39" i="1"/>
  <c r="CR78" i="1"/>
  <c r="CC79" i="1"/>
  <c r="ED49" i="1"/>
  <c r="EC47" i="1"/>
  <c r="EF57" i="1"/>
  <c r="CG79" i="1"/>
  <c r="CV55" i="1"/>
  <c r="BW79" i="1"/>
  <c r="CT79" i="1"/>
  <c r="EC64" i="1"/>
  <c r="ED64" i="1" s="1"/>
  <c r="CI78" i="1"/>
  <c r="CU45" i="1"/>
  <c r="CV42" i="1"/>
  <c r="EE42" i="1" s="1"/>
  <c r="CL79" i="1"/>
  <c r="ED65" i="1"/>
  <c r="CX53" i="1"/>
  <c r="EG53" i="1" s="1"/>
  <c r="CU67" i="1"/>
  <c r="BX78" i="1"/>
  <c r="CQ77" i="1"/>
  <c r="CU54" i="1"/>
  <c r="ED54" i="1" s="1"/>
  <c r="CW48" i="1"/>
  <c r="EF48" i="1" s="1"/>
  <c r="CD79" i="1"/>
  <c r="EC68" i="1"/>
  <c r="ED68" i="1" s="1"/>
  <c r="ED55" i="1"/>
  <c r="EE55" i="1" s="1"/>
  <c r="ED59" i="1" l="1"/>
  <c r="ED47" i="1"/>
  <c r="EE65" i="1"/>
  <c r="EF65" i="1" s="1"/>
  <c r="ED40" i="1"/>
  <c r="EF58" i="1"/>
  <c r="EG46" i="1"/>
  <c r="EH46" i="1" s="1"/>
  <c r="ED69" i="1"/>
  <c r="EE69" i="1" s="1"/>
  <c r="EE49" i="1"/>
  <c r="BW78" i="1"/>
  <c r="CK76" i="1"/>
  <c r="CS78" i="1"/>
  <c r="CW49" i="1"/>
  <c r="CW65" i="1"/>
  <c r="CV69" i="1"/>
  <c r="CY63" i="1"/>
  <c r="CV41" i="1"/>
  <c r="CW50" i="1"/>
  <c r="CW77" i="1"/>
  <c r="CV64" i="1"/>
  <c r="EE64" i="1" s="1"/>
  <c r="EG63" i="1"/>
  <c r="CC78" i="1"/>
  <c r="CV47" i="1"/>
  <c r="CU76" i="1"/>
  <c r="CY61" i="1"/>
  <c r="ED41" i="1"/>
  <c r="CY46" i="1"/>
  <c r="CX57" i="1"/>
  <c r="CF76" i="1"/>
  <c r="CV45" i="1"/>
  <c r="CW55" i="1"/>
  <c r="EF55" i="1" s="1"/>
  <c r="ED45" i="1"/>
  <c r="CD78" i="1"/>
  <c r="BX77" i="1"/>
  <c r="EF50" i="1"/>
  <c r="CI77" i="1"/>
  <c r="CA78" i="1"/>
  <c r="CE78" i="1"/>
  <c r="CV59" i="1"/>
  <c r="AI56" i="1"/>
  <c r="CQ76" i="1"/>
  <c r="CG78" i="1"/>
  <c r="CR77" i="1"/>
  <c r="CV44" i="1"/>
  <c r="CO78" i="1"/>
  <c r="CV77" i="1"/>
  <c r="BY76" i="1"/>
  <c r="CN76" i="1"/>
  <c r="CB78" i="1"/>
  <c r="CJ78" i="1"/>
  <c r="CX77" i="1"/>
  <c r="CL78" i="1"/>
  <c r="CX58" i="1"/>
  <c r="CH77" i="1"/>
  <c r="CW66" i="1"/>
  <c r="CV67" i="1"/>
  <c r="CT78" i="1"/>
  <c r="ED67" i="1"/>
  <c r="CW39" i="1"/>
  <c r="EF39" i="1" s="1"/>
  <c r="CV40" i="1"/>
  <c r="CV43" i="1"/>
  <c r="CW52" i="1"/>
  <c r="EF52" i="1" s="1"/>
  <c r="CY77" i="1"/>
  <c r="CV51" i="1"/>
  <c r="CP76" i="1"/>
  <c r="EH56" i="1"/>
  <c r="CM78" i="1"/>
  <c r="CY53" i="1"/>
  <c r="AJ53" i="1" s="1"/>
  <c r="BQ88" i="1" s="1"/>
  <c r="CX48" i="1"/>
  <c r="EG48" i="1" s="1"/>
  <c r="CV54" i="1"/>
  <c r="EE54" i="1" s="1"/>
  <c r="CW42" i="1"/>
  <c r="EF42" i="1" s="1"/>
  <c r="EG57" i="1"/>
  <c r="CW62" i="1"/>
  <c r="CV68" i="1"/>
  <c r="EE68" i="1" s="1"/>
  <c r="CW60" i="1"/>
  <c r="EF60" i="1" s="1"/>
  <c r="BZ75" i="1"/>
  <c r="EG61" i="1"/>
  <c r="AJ46" i="1" l="1"/>
  <c r="BQ81" i="1" s="1"/>
  <c r="EE41" i="1"/>
  <c r="EH61" i="1"/>
  <c r="EH63" i="1"/>
  <c r="AI53" i="1"/>
  <c r="BP88" i="1" s="1"/>
  <c r="CP75" i="1"/>
  <c r="CW43" i="1"/>
  <c r="CT77" i="1"/>
  <c r="CY58" i="1"/>
  <c r="CR76" i="1"/>
  <c r="BP91" i="1"/>
  <c r="AH56" i="1"/>
  <c r="BW77" i="1"/>
  <c r="CX62" i="1"/>
  <c r="CJ77" i="1"/>
  <c r="CW59" i="1"/>
  <c r="CW45" i="1"/>
  <c r="CW76" i="1"/>
  <c r="CW41" i="1"/>
  <c r="CX49" i="1"/>
  <c r="CV76" i="1"/>
  <c r="CW51" i="1"/>
  <c r="CW40" i="1"/>
  <c r="CW67" i="1"/>
  <c r="CG77" i="1"/>
  <c r="BX76" i="1"/>
  <c r="CC77" i="1"/>
  <c r="BZ74" i="1"/>
  <c r="CB77" i="1"/>
  <c r="CO77" i="1"/>
  <c r="CE77" i="1"/>
  <c r="CF75" i="1"/>
  <c r="AJ61" i="1"/>
  <c r="AJ63" i="1"/>
  <c r="CS77" i="1"/>
  <c r="CY76" i="1"/>
  <c r="EE51" i="1"/>
  <c r="CX66" i="1"/>
  <c r="CL77" i="1"/>
  <c r="CD77" i="1"/>
  <c r="EE43" i="1"/>
  <c r="EF43" i="1" s="1"/>
  <c r="EF49" i="1"/>
  <c r="CY48" i="1"/>
  <c r="AJ48" i="1" s="1"/>
  <c r="BQ83" i="1" s="1"/>
  <c r="CX60" i="1"/>
  <c r="EG60" i="1" s="1"/>
  <c r="CX42" i="1"/>
  <c r="EG42" i="1" s="1"/>
  <c r="CM77" i="1"/>
  <c r="CX39" i="1"/>
  <c r="CN75" i="1"/>
  <c r="CW44" i="1"/>
  <c r="CQ75" i="1"/>
  <c r="CA77" i="1"/>
  <c r="CY57" i="1"/>
  <c r="AJ57" i="1" s="1"/>
  <c r="BQ92" i="1" s="1"/>
  <c r="CU75" i="1"/>
  <c r="CW69" i="1"/>
  <c r="CK75" i="1"/>
  <c r="EG58" i="1"/>
  <c r="EH58" i="1" s="1"/>
  <c r="CX52" i="1"/>
  <c r="EG52" i="1" s="1"/>
  <c r="CH76" i="1"/>
  <c r="EE45" i="1"/>
  <c r="EF45" i="1" s="1"/>
  <c r="EF62" i="1"/>
  <c r="EG62" i="1" s="1"/>
  <c r="EE40" i="1"/>
  <c r="EH53" i="1"/>
  <c r="CW68" i="1"/>
  <c r="EF68" i="1" s="1"/>
  <c r="CW54" i="1"/>
  <c r="EF54" i="1" s="1"/>
  <c r="EE67" i="1"/>
  <c r="EF67" i="1" s="1"/>
  <c r="CX76" i="1"/>
  <c r="BY75" i="1"/>
  <c r="EE59" i="1"/>
  <c r="EF59" i="1" s="1"/>
  <c r="EF66" i="1"/>
  <c r="CI76" i="1"/>
  <c r="CX55" i="1"/>
  <c r="CW47" i="1"/>
  <c r="CW64" i="1"/>
  <c r="CX50" i="1"/>
  <c r="EG50" i="1" s="1"/>
  <c r="CX65" i="1"/>
  <c r="EE47" i="1"/>
  <c r="EF47" i="1" s="1"/>
  <c r="EE44" i="1"/>
  <c r="EG49" i="1" l="1"/>
  <c r="EF51" i="1"/>
  <c r="AI46" i="1"/>
  <c r="BP81" i="1" s="1"/>
  <c r="EH57" i="1"/>
  <c r="EF44" i="1"/>
  <c r="EG66" i="1"/>
  <c r="EF40" i="1"/>
  <c r="AI57" i="1"/>
  <c r="AH57" i="1" s="1"/>
  <c r="AH53" i="1"/>
  <c r="BO88" i="1" s="1"/>
  <c r="CL76" i="1"/>
  <c r="CE76" i="1"/>
  <c r="BW76" i="1"/>
  <c r="AJ58" i="1"/>
  <c r="CY55" i="1"/>
  <c r="CK74" i="1"/>
  <c r="CA76" i="1"/>
  <c r="CY39" i="1"/>
  <c r="CC76" i="1"/>
  <c r="CX40" i="1"/>
  <c r="CX41" i="1"/>
  <c r="EH48" i="1"/>
  <c r="AI48" i="1"/>
  <c r="CY66" i="1"/>
  <c r="CS76" i="1"/>
  <c r="CO76" i="1"/>
  <c r="CX59" i="1"/>
  <c r="EG59" i="1" s="1"/>
  <c r="CT76" i="1"/>
  <c r="CY50" i="1"/>
  <c r="AJ50" i="1" s="1"/>
  <c r="BQ85" i="1" s="1"/>
  <c r="CI75" i="1"/>
  <c r="CX69" i="1"/>
  <c r="CQ74" i="1"/>
  <c r="CM76" i="1"/>
  <c r="BX75" i="1"/>
  <c r="CX51" i="1"/>
  <c r="EG51" i="1" s="1"/>
  <c r="CW75" i="1"/>
  <c r="CY65" i="1"/>
  <c r="CX54" i="1"/>
  <c r="CH75" i="1"/>
  <c r="BQ98" i="1"/>
  <c r="AI63" i="1"/>
  <c r="CB76" i="1"/>
  <c r="CJ76" i="1"/>
  <c r="BO91" i="1"/>
  <c r="AG56" i="1"/>
  <c r="CX43" i="1"/>
  <c r="EG43" i="1" s="1"/>
  <c r="CX75" i="1"/>
  <c r="CU74" i="1"/>
  <c r="CX44" i="1"/>
  <c r="CY42" i="1"/>
  <c r="AJ42" i="1" s="1"/>
  <c r="BQ77" i="1" s="1"/>
  <c r="CD76" i="1"/>
  <c r="CY75" i="1"/>
  <c r="BQ96" i="1"/>
  <c r="AI61" i="1"/>
  <c r="CG76" i="1"/>
  <c r="CV75" i="1"/>
  <c r="EF69" i="1"/>
  <c r="EG69" i="1" s="1"/>
  <c r="CX64" i="1"/>
  <c r="CX68" i="1"/>
  <c r="EG68" i="1" s="1"/>
  <c r="CY52" i="1"/>
  <c r="AJ52" i="1" s="1"/>
  <c r="BQ87" i="1" s="1"/>
  <c r="CF74" i="1"/>
  <c r="EF64" i="1"/>
  <c r="EF41" i="1"/>
  <c r="CY62" i="1"/>
  <c r="AJ62" i="1" s="1"/>
  <c r="BQ97" i="1" s="1"/>
  <c r="CR75" i="1"/>
  <c r="CP74" i="1"/>
  <c r="EG55" i="1"/>
  <c r="EH55" i="1" s="1"/>
  <c r="CX47" i="1"/>
  <c r="EG47" i="1" s="1"/>
  <c r="BY74" i="1"/>
  <c r="CN74" i="1"/>
  <c r="CY60" i="1"/>
  <c r="AJ60" i="1" s="1"/>
  <c r="BQ95" i="1" s="1"/>
  <c r="EG65" i="1"/>
  <c r="CX67" i="1"/>
  <c r="CY49" i="1"/>
  <c r="AJ49" i="1" s="1"/>
  <c r="BQ84" i="1" s="1"/>
  <c r="CX45" i="1"/>
  <c r="EG39" i="1"/>
  <c r="EH39" i="1" s="1"/>
  <c r="EH66" i="1" l="1"/>
  <c r="EH65" i="1"/>
  <c r="EG44" i="1"/>
  <c r="AH46" i="1"/>
  <c r="BO81" i="1" s="1"/>
  <c r="EG64" i="1"/>
  <c r="AJ66" i="1"/>
  <c r="BQ101" i="1" s="1"/>
  <c r="EG41" i="1"/>
  <c r="EH41" i="1" s="1"/>
  <c r="AG53" i="1"/>
  <c r="BN88" i="1" s="1"/>
  <c r="AI62" i="1"/>
  <c r="BP97" i="1" s="1"/>
  <c r="AI49" i="1"/>
  <c r="BP84" i="1" s="1"/>
  <c r="BP92" i="1"/>
  <c r="BN91" i="1"/>
  <c r="AF56" i="1"/>
  <c r="CW74" i="1"/>
  <c r="EH62" i="1"/>
  <c r="AJ39" i="1"/>
  <c r="CY74" i="1"/>
  <c r="CO75" i="1"/>
  <c r="EH52" i="1"/>
  <c r="BO92" i="1"/>
  <c r="AG57" i="1"/>
  <c r="CJ75" i="1"/>
  <c r="CH74" i="1"/>
  <c r="CY51" i="1"/>
  <c r="AJ51" i="1" s="1"/>
  <c r="BQ86" i="1" s="1"/>
  <c r="AI50" i="1"/>
  <c r="CY41" i="1"/>
  <c r="CA75" i="1"/>
  <c r="BQ93" i="1"/>
  <c r="AI58" i="1"/>
  <c r="CR74" i="1"/>
  <c r="AI52" i="1"/>
  <c r="CV74" i="1"/>
  <c r="CD75" i="1"/>
  <c r="CY69" i="1"/>
  <c r="AJ69" i="1" s="1"/>
  <c r="BQ104" i="1" s="1"/>
  <c r="CT75" i="1"/>
  <c r="CS75" i="1"/>
  <c r="BW75" i="1"/>
  <c r="CY67" i="1"/>
  <c r="CY47" i="1"/>
  <c r="AJ47" i="1" s="1"/>
  <c r="BQ82" i="1" s="1"/>
  <c r="CY68" i="1"/>
  <c r="AJ68" i="1" s="1"/>
  <c r="BQ103" i="1" s="1"/>
  <c r="EG103" i="1" s="1"/>
  <c r="CX74" i="1"/>
  <c r="CB75" i="1"/>
  <c r="CY54" i="1"/>
  <c r="BX74" i="1"/>
  <c r="CY40" i="1"/>
  <c r="EG54" i="1"/>
  <c r="CY45" i="1"/>
  <c r="CG75" i="1"/>
  <c r="EG45" i="1"/>
  <c r="CE75" i="1"/>
  <c r="EH42" i="1"/>
  <c r="AI42" i="1"/>
  <c r="CY43" i="1"/>
  <c r="AJ43" i="1" s="1"/>
  <c r="BQ78" i="1" s="1"/>
  <c r="BP98" i="1"/>
  <c r="AH63" i="1"/>
  <c r="AJ65" i="1"/>
  <c r="EH49" i="1"/>
  <c r="EG67" i="1"/>
  <c r="EH67" i="1" s="1"/>
  <c r="CC75" i="1"/>
  <c r="EG40" i="1"/>
  <c r="EH50" i="1"/>
  <c r="AI60" i="1"/>
  <c r="CY64" i="1"/>
  <c r="BP96" i="1"/>
  <c r="AH61" i="1"/>
  <c r="CY44" i="1"/>
  <c r="AJ44" i="1" s="1"/>
  <c r="BQ79" i="1" s="1"/>
  <c r="CM75" i="1"/>
  <c r="CI74" i="1"/>
  <c r="CY59" i="1"/>
  <c r="AJ59" i="1" s="1"/>
  <c r="BQ94" i="1" s="1"/>
  <c r="BP83" i="1"/>
  <c r="AH48" i="1"/>
  <c r="AJ55" i="1"/>
  <c r="CL75" i="1"/>
  <c r="EH60" i="1"/>
  <c r="EH45" i="1" l="1"/>
  <c r="EH51" i="1"/>
  <c r="AG46" i="1"/>
  <c r="BN81" i="1" s="1"/>
  <c r="AJ64" i="1"/>
  <c r="BQ99" i="1" s="1"/>
  <c r="AI66" i="1"/>
  <c r="AH66" i="1" s="1"/>
  <c r="AJ41" i="1"/>
  <c r="BQ76" i="1" s="1"/>
  <c r="EH40" i="1"/>
  <c r="EH44" i="1"/>
  <c r="AF53" i="1"/>
  <c r="AE53" i="1" s="1"/>
  <c r="AJ54" i="1"/>
  <c r="BQ89" i="1" s="1"/>
  <c r="AH62" i="1"/>
  <c r="BO97" i="1" s="1"/>
  <c r="AI43" i="1"/>
  <c r="AH43" i="1" s="1"/>
  <c r="AH49" i="1"/>
  <c r="AG49" i="1" s="1"/>
  <c r="AI59" i="1"/>
  <c r="BP94" i="1" s="1"/>
  <c r="BP95" i="1"/>
  <c r="AH60" i="1"/>
  <c r="CS74" i="1"/>
  <c r="CO74" i="1"/>
  <c r="BQ90" i="1"/>
  <c r="AI55" i="1"/>
  <c r="BO98" i="1"/>
  <c r="AG63" i="1"/>
  <c r="AI68" i="1"/>
  <c r="CA74" i="1"/>
  <c r="CE74" i="1"/>
  <c r="CT74" i="1"/>
  <c r="BP87" i="1"/>
  <c r="AH52" i="1"/>
  <c r="CJ74" i="1"/>
  <c r="EH43" i="1"/>
  <c r="BQ100" i="1"/>
  <c r="AI65" i="1"/>
  <c r="AI44" i="1"/>
  <c r="BO96" i="1"/>
  <c r="AG61" i="1"/>
  <c r="CC74" i="1"/>
  <c r="AJ45" i="1"/>
  <c r="AI47" i="1"/>
  <c r="BM91" i="1"/>
  <c r="AE56" i="1"/>
  <c r="CB74" i="1"/>
  <c r="AJ67" i="1"/>
  <c r="EH69" i="1"/>
  <c r="BP77" i="1"/>
  <c r="AH42" i="1"/>
  <c r="EH54" i="1"/>
  <c r="AI69" i="1"/>
  <c r="BP85" i="1"/>
  <c r="AH50" i="1"/>
  <c r="BN92" i="1"/>
  <c r="AF57" i="1"/>
  <c r="EH47" i="1"/>
  <c r="BO83" i="1"/>
  <c r="AG48" i="1"/>
  <c r="EH59" i="1"/>
  <c r="AJ40" i="1"/>
  <c r="BW74" i="1"/>
  <c r="CD74" i="1"/>
  <c r="BQ74" i="1"/>
  <c r="AI39" i="1"/>
  <c r="CL74" i="1"/>
  <c r="CM74" i="1"/>
  <c r="EH64" i="1"/>
  <c r="CG74" i="1"/>
  <c r="BP93" i="1"/>
  <c r="AH58" i="1"/>
  <c r="AI51" i="1"/>
  <c r="EH68" i="1"/>
  <c r="BP101" i="1" l="1"/>
  <c r="AF46" i="1"/>
  <c r="BM81" i="1" s="1"/>
  <c r="AI64" i="1"/>
  <c r="BP99" i="1" s="1"/>
  <c r="AI41" i="1"/>
  <c r="AH41" i="1" s="1"/>
  <c r="BM88" i="1"/>
  <c r="BP78" i="1"/>
  <c r="AG62" i="1"/>
  <c r="BN97" i="1" s="1"/>
  <c r="AH59" i="1"/>
  <c r="BO94" i="1" s="1"/>
  <c r="BO84" i="1"/>
  <c r="AI54" i="1"/>
  <c r="AH54" i="1" s="1"/>
  <c r="BP104" i="1"/>
  <c r="AH69" i="1"/>
  <c r="BQ102" i="1"/>
  <c r="EG102" i="1" s="1"/>
  <c r="EG101" i="1" s="1"/>
  <c r="EG100" i="1" s="1"/>
  <c r="EG99" i="1" s="1"/>
  <c r="EG98" i="1" s="1"/>
  <c r="EG97" i="1" s="1"/>
  <c r="EG96" i="1" s="1"/>
  <c r="EG95" i="1" s="1"/>
  <c r="EG94" i="1" s="1"/>
  <c r="EG93" i="1" s="1"/>
  <c r="EG92" i="1" s="1"/>
  <c r="EG91" i="1" s="1"/>
  <c r="EG90" i="1" s="1"/>
  <c r="EG89" i="1" s="1"/>
  <c r="EG88" i="1" s="1"/>
  <c r="EG87" i="1" s="1"/>
  <c r="EG86" i="1" s="1"/>
  <c r="EG85" i="1" s="1"/>
  <c r="EG84" i="1" s="1"/>
  <c r="EG83" i="1" s="1"/>
  <c r="EG82" i="1" s="1"/>
  <c r="EG81" i="1" s="1"/>
  <c r="AI67" i="1"/>
  <c r="BN84" i="1"/>
  <c r="AF49" i="1"/>
  <c r="BL91" i="1"/>
  <c r="AD56" i="1"/>
  <c r="BO77" i="1"/>
  <c r="AG42" i="1"/>
  <c r="BN96" i="1"/>
  <c r="AF61" i="1"/>
  <c r="BO87" i="1"/>
  <c r="AG52" i="1"/>
  <c r="BP103" i="1"/>
  <c r="EF103" i="1" s="1"/>
  <c r="AH68" i="1"/>
  <c r="BP86" i="1"/>
  <c r="AH51" i="1"/>
  <c r="BL88" i="1"/>
  <c r="AD53" i="1"/>
  <c r="BO93" i="1"/>
  <c r="AG58" i="1"/>
  <c r="BM92" i="1"/>
  <c r="AE57" i="1"/>
  <c r="BO101" i="1"/>
  <c r="AG66" i="1"/>
  <c r="BP79" i="1"/>
  <c r="AH44" i="1"/>
  <c r="BQ75" i="1"/>
  <c r="AI40" i="1"/>
  <c r="BO78" i="1"/>
  <c r="AG43" i="1"/>
  <c r="BP82" i="1"/>
  <c r="AH47" i="1"/>
  <c r="BP100" i="1"/>
  <c r="AH65" i="1"/>
  <c r="BN98" i="1"/>
  <c r="AF63" i="1"/>
  <c r="BO85" i="1"/>
  <c r="AG50" i="1"/>
  <c r="BO95" i="1"/>
  <c r="AG60" i="1"/>
  <c r="BP74" i="1"/>
  <c r="AH39" i="1"/>
  <c r="BN83" i="1"/>
  <c r="AF48" i="1"/>
  <c r="BQ80" i="1"/>
  <c r="AI45" i="1"/>
  <c r="BP90" i="1"/>
  <c r="AH55" i="1"/>
  <c r="AE46" i="1" l="1"/>
  <c r="AD46" i="1" s="1"/>
  <c r="AC46" i="1" s="1"/>
  <c r="BP76" i="1"/>
  <c r="AH64" i="1"/>
  <c r="AG64" i="1" s="1"/>
  <c r="BN99" i="1" s="1"/>
  <c r="EG80" i="1"/>
  <c r="EG79" i="1" s="1"/>
  <c r="EG78" i="1" s="1"/>
  <c r="EG77" i="1" s="1"/>
  <c r="EG76" i="1" s="1"/>
  <c r="EG75" i="1" s="1"/>
  <c r="EG74" i="1" s="1"/>
  <c r="AG59" i="1"/>
  <c r="BN94" i="1" s="1"/>
  <c r="AF62" i="1"/>
  <c r="AE62" i="1" s="1"/>
  <c r="BP89" i="1"/>
  <c r="BO89" i="1"/>
  <c r="AG54" i="1"/>
  <c r="BN101" i="1"/>
  <c r="AF66" i="1"/>
  <c r="BK88" i="1"/>
  <c r="AC53" i="1"/>
  <c r="BO103" i="1"/>
  <c r="EE103" i="1" s="1"/>
  <c r="AG68" i="1"/>
  <c r="BK91" i="1"/>
  <c r="AC56" i="1"/>
  <c r="BO82" i="1"/>
  <c r="AG47" i="1"/>
  <c r="BO90" i="1"/>
  <c r="AG55" i="1"/>
  <c r="BN78" i="1"/>
  <c r="AF43" i="1"/>
  <c r="BN87" i="1"/>
  <c r="AF52" i="1"/>
  <c r="BM84" i="1"/>
  <c r="AE49" i="1"/>
  <c r="BO76" i="1"/>
  <c r="AG41" i="1"/>
  <c r="BM83" i="1"/>
  <c r="AE48" i="1"/>
  <c r="BL92" i="1"/>
  <c r="AD57" i="1"/>
  <c r="BP80" i="1"/>
  <c r="AH45" i="1"/>
  <c r="BO74" i="1"/>
  <c r="AG39" i="1"/>
  <c r="BM98" i="1"/>
  <c r="AE63" i="1"/>
  <c r="BP75" i="1"/>
  <c r="AH40" i="1"/>
  <c r="BN93" i="1"/>
  <c r="AF58" i="1"/>
  <c r="BM96" i="1"/>
  <c r="AE61" i="1"/>
  <c r="BP102" i="1"/>
  <c r="EF102" i="1" s="1"/>
  <c r="EF101" i="1" s="1"/>
  <c r="EF100" i="1" s="1"/>
  <c r="EF99" i="1" s="1"/>
  <c r="EF98" i="1" s="1"/>
  <c r="EF97" i="1" s="1"/>
  <c r="EF96" i="1" s="1"/>
  <c r="EF95" i="1" s="1"/>
  <c r="EF94" i="1" s="1"/>
  <c r="EF93" i="1" s="1"/>
  <c r="EF92" i="1" s="1"/>
  <c r="EF91" i="1" s="1"/>
  <c r="EF90" i="1" s="1"/>
  <c r="AH67" i="1"/>
  <c r="BN95" i="1"/>
  <c r="AF60" i="1"/>
  <c r="BO100" i="1"/>
  <c r="AG65" i="1"/>
  <c r="BO79" i="1"/>
  <c r="AG44" i="1"/>
  <c r="BO86" i="1"/>
  <c r="AG51" i="1"/>
  <c r="BN77" i="1"/>
  <c r="AF42" i="1"/>
  <c r="BO104" i="1"/>
  <c r="AG69" i="1"/>
  <c r="BN85" i="1"/>
  <c r="AF50" i="1"/>
  <c r="BK81" i="1" l="1"/>
  <c r="BL81" i="1"/>
  <c r="AF64" i="1"/>
  <c r="BM99" i="1" s="1"/>
  <c r="BO99" i="1"/>
  <c r="AJ74" i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BM97" i="1"/>
  <c r="AF59" i="1"/>
  <c r="AE59" i="1" s="1"/>
  <c r="EF89" i="1"/>
  <c r="EF88" i="1" s="1"/>
  <c r="EF87" i="1" s="1"/>
  <c r="EF86" i="1" s="1"/>
  <c r="EF85" i="1" s="1"/>
  <c r="EF84" i="1" s="1"/>
  <c r="EF83" i="1" s="1"/>
  <c r="EF82" i="1" s="1"/>
  <c r="EF81" i="1" s="1"/>
  <c r="EF80" i="1" s="1"/>
  <c r="EF79" i="1" s="1"/>
  <c r="EF78" i="1" s="1"/>
  <c r="EF77" i="1" s="1"/>
  <c r="EF76" i="1" s="1"/>
  <c r="EF75" i="1" s="1"/>
  <c r="EF74" i="1" s="1"/>
  <c r="BN103" i="1"/>
  <c r="ED103" i="1" s="1"/>
  <c r="AF68" i="1"/>
  <c r="BN104" i="1"/>
  <c r="AF69" i="1"/>
  <c r="BL84" i="1"/>
  <c r="AD49" i="1"/>
  <c r="BN90" i="1"/>
  <c r="AF55" i="1"/>
  <c r="BJ88" i="1"/>
  <c r="AB53" i="1"/>
  <c r="BM77" i="1"/>
  <c r="AE42" i="1"/>
  <c r="BN100" i="1"/>
  <c r="AF65" i="1"/>
  <c r="BO102" i="1"/>
  <c r="EE102" i="1" s="1"/>
  <c r="EE101" i="1" s="1"/>
  <c r="EE100" i="1" s="1"/>
  <c r="AG67" i="1"/>
  <c r="BO75" i="1"/>
  <c r="AG40" i="1"/>
  <c r="BK92" i="1"/>
  <c r="AC57" i="1"/>
  <c r="BM87" i="1"/>
  <c r="AE52" i="1"/>
  <c r="BN82" i="1"/>
  <c r="AF47" i="1"/>
  <c r="BM101" i="1"/>
  <c r="AE66" i="1"/>
  <c r="BN79" i="1"/>
  <c r="AF44" i="1"/>
  <c r="BM95" i="1"/>
  <c r="AE60" i="1"/>
  <c r="BL98" i="1"/>
  <c r="AD63" i="1"/>
  <c r="BL83" i="1"/>
  <c r="AD48" i="1"/>
  <c r="BJ81" i="1"/>
  <c r="AB46" i="1"/>
  <c r="BM93" i="1"/>
  <c r="AE58" i="1"/>
  <c r="BJ91" i="1"/>
  <c r="AB56" i="1"/>
  <c r="BN89" i="1"/>
  <c r="AF54" i="1"/>
  <c r="BO80" i="1"/>
  <c r="AG45" i="1"/>
  <c r="BN86" i="1"/>
  <c r="AF51" i="1"/>
  <c r="BL96" i="1"/>
  <c r="AD61" i="1"/>
  <c r="BM85" i="1"/>
  <c r="AE50" i="1"/>
  <c r="BL97" i="1"/>
  <c r="AD62" i="1"/>
  <c r="BN74" i="1"/>
  <c r="AF39" i="1"/>
  <c r="BN76" i="1"/>
  <c r="AF41" i="1"/>
  <c r="BM78" i="1"/>
  <c r="AE43" i="1"/>
  <c r="EE99" i="1" l="1"/>
  <c r="EE98" i="1" s="1"/>
  <c r="EE97" i="1" s="1"/>
  <c r="EE96" i="1" s="1"/>
  <c r="EE95" i="1" s="1"/>
  <c r="EE94" i="1" s="1"/>
  <c r="EE93" i="1" s="1"/>
  <c r="EE92" i="1" s="1"/>
  <c r="EE91" i="1" s="1"/>
  <c r="EE90" i="1" s="1"/>
  <c r="EE89" i="1" s="1"/>
  <c r="EE88" i="1" s="1"/>
  <c r="EE87" i="1" s="1"/>
  <c r="EE86" i="1" s="1"/>
  <c r="EE85" i="1" s="1"/>
  <c r="EE84" i="1" s="1"/>
  <c r="EE83" i="1" s="1"/>
  <c r="EE82" i="1" s="1"/>
  <c r="EE81" i="1" s="1"/>
  <c r="EE80" i="1" s="1"/>
  <c r="EE79" i="1" s="1"/>
  <c r="EE78" i="1" s="1"/>
  <c r="EE77" i="1" s="1"/>
  <c r="EE76" i="1" s="1"/>
  <c r="EE75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H98" i="1" s="1"/>
  <c r="AH99" i="1" s="1"/>
  <c r="AH100" i="1" s="1"/>
  <c r="AH101" i="1" s="1"/>
  <c r="AH102" i="1" s="1"/>
  <c r="AH103" i="1" s="1"/>
  <c r="AH104" i="1" s="1"/>
  <c r="AE64" i="1"/>
  <c r="BL99" i="1" s="1"/>
  <c r="BM94" i="1"/>
  <c r="AI74" i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BK84" i="1"/>
  <c r="AC49" i="1"/>
  <c r="BM76" i="1"/>
  <c r="AE41" i="1"/>
  <c r="BK97" i="1"/>
  <c r="AC62" i="1"/>
  <c r="BN80" i="1"/>
  <c r="AF45" i="1"/>
  <c r="BI81" i="1"/>
  <c r="AA46" i="1"/>
  <c r="BM79" i="1"/>
  <c r="AE44" i="1"/>
  <c r="BJ92" i="1"/>
  <c r="AB57" i="1"/>
  <c r="BL77" i="1"/>
  <c r="AD42" i="1"/>
  <c r="BM104" i="1"/>
  <c r="AE69" i="1"/>
  <c r="BM74" i="1"/>
  <c r="AE39" i="1"/>
  <c r="BL85" i="1"/>
  <c r="AD50" i="1"/>
  <c r="BM89" i="1"/>
  <c r="AE54" i="1"/>
  <c r="BK83" i="1"/>
  <c r="AC48" i="1"/>
  <c r="BL101" i="1"/>
  <c r="AD66" i="1"/>
  <c r="BN75" i="1"/>
  <c r="AF40" i="1"/>
  <c r="BI88" i="1"/>
  <c r="AA53" i="1"/>
  <c r="BM103" i="1"/>
  <c r="EC103" i="1" s="1"/>
  <c r="AE68" i="1"/>
  <c r="BK96" i="1"/>
  <c r="AC61" i="1"/>
  <c r="BI91" i="1"/>
  <c r="AA56" i="1"/>
  <c r="BK98" i="1"/>
  <c r="AC63" i="1"/>
  <c r="BM82" i="1"/>
  <c r="AE47" i="1"/>
  <c r="BN102" i="1"/>
  <c r="ED102" i="1" s="1"/>
  <c r="ED101" i="1" s="1"/>
  <c r="ED100" i="1" s="1"/>
  <c r="ED99" i="1" s="1"/>
  <c r="ED98" i="1" s="1"/>
  <c r="ED97" i="1" s="1"/>
  <c r="ED96" i="1" s="1"/>
  <c r="ED95" i="1" s="1"/>
  <c r="ED94" i="1" s="1"/>
  <c r="ED93" i="1" s="1"/>
  <c r="ED92" i="1" s="1"/>
  <c r="ED91" i="1" s="1"/>
  <c r="ED90" i="1" s="1"/>
  <c r="ED89" i="1" s="1"/>
  <c r="ED88" i="1" s="1"/>
  <c r="ED87" i="1" s="1"/>
  <c r="ED86" i="1" s="1"/>
  <c r="ED85" i="1" s="1"/>
  <c r="ED84" i="1" s="1"/>
  <c r="ED83" i="1" s="1"/>
  <c r="ED82" i="1" s="1"/>
  <c r="ED81" i="1" s="1"/>
  <c r="AF67" i="1"/>
  <c r="BM90" i="1"/>
  <c r="AE55" i="1"/>
  <c r="BL78" i="1"/>
  <c r="AD43" i="1"/>
  <c r="BL94" i="1"/>
  <c r="AD59" i="1"/>
  <c r="BM86" i="1"/>
  <c r="AE51" i="1"/>
  <c r="BL93" i="1"/>
  <c r="AD58" i="1"/>
  <c r="BL95" i="1"/>
  <c r="AD60" i="1"/>
  <c r="BL87" i="1"/>
  <c r="AD52" i="1"/>
  <c r="BM100" i="1"/>
  <c r="AE65" i="1"/>
  <c r="AD64" i="1" l="1"/>
  <c r="AC64" i="1" s="1"/>
  <c r="ED80" i="1"/>
  <c r="ED79" i="1" s="1"/>
  <c r="ED78" i="1" s="1"/>
  <c r="ED77" i="1" s="1"/>
  <c r="ED76" i="1" s="1"/>
  <c r="ED75" i="1" s="1"/>
  <c r="AG74" i="1" s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AG94" i="1" s="1"/>
  <c r="AG95" i="1" s="1"/>
  <c r="AG96" i="1" s="1"/>
  <c r="AG97" i="1" s="1"/>
  <c r="AG98" i="1" s="1"/>
  <c r="AG99" i="1" s="1"/>
  <c r="AG100" i="1" s="1"/>
  <c r="AG101" i="1" s="1"/>
  <c r="AG102" i="1" s="1"/>
  <c r="AG103" i="1" s="1"/>
  <c r="AG104" i="1" s="1"/>
  <c r="EE74" i="1"/>
  <c r="BL100" i="1"/>
  <c r="AD65" i="1"/>
  <c r="BJ96" i="1"/>
  <c r="AB61" i="1"/>
  <c r="BM75" i="1"/>
  <c r="AE40" i="1"/>
  <c r="BK85" i="1"/>
  <c r="AC50" i="1"/>
  <c r="BI92" i="1"/>
  <c r="AA57" i="1"/>
  <c r="BJ97" i="1"/>
  <c r="AB62" i="1"/>
  <c r="BK94" i="1"/>
  <c r="AC59" i="1"/>
  <c r="BK101" i="1"/>
  <c r="AC66" i="1"/>
  <c r="BL74" i="1"/>
  <c r="AD39" i="1"/>
  <c r="BL79" i="1"/>
  <c r="AD44" i="1"/>
  <c r="BL76" i="1"/>
  <c r="AD41" i="1"/>
  <c r="BL86" i="1"/>
  <c r="AD51" i="1"/>
  <c r="BK78" i="1"/>
  <c r="AC43" i="1"/>
  <c r="BJ98" i="1"/>
  <c r="AB63" i="1"/>
  <c r="BL103" i="1"/>
  <c r="EB103" i="1" s="1"/>
  <c r="AD68" i="1"/>
  <c r="BJ83" i="1"/>
  <c r="AB48" i="1"/>
  <c r="BL104" i="1"/>
  <c r="AD69" i="1"/>
  <c r="BH81" i="1"/>
  <c r="Z46" i="1"/>
  <c r="BJ84" i="1"/>
  <c r="AB49" i="1"/>
  <c r="BM102" i="1"/>
  <c r="EC102" i="1" s="1"/>
  <c r="EC101" i="1" s="1"/>
  <c r="EC100" i="1" s="1"/>
  <c r="EC99" i="1" s="1"/>
  <c r="EC98" i="1" s="1"/>
  <c r="EC97" i="1" s="1"/>
  <c r="EC96" i="1" s="1"/>
  <c r="EC95" i="1" s="1"/>
  <c r="EC94" i="1" s="1"/>
  <c r="EC93" i="1" s="1"/>
  <c r="EC92" i="1" s="1"/>
  <c r="EC91" i="1" s="1"/>
  <c r="EC90" i="1" s="1"/>
  <c r="EC89" i="1" s="1"/>
  <c r="EC88" i="1" s="1"/>
  <c r="EC87" i="1" s="1"/>
  <c r="EC86" i="1" s="1"/>
  <c r="EC85" i="1" s="1"/>
  <c r="EC84" i="1" s="1"/>
  <c r="EC83" i="1" s="1"/>
  <c r="EC82" i="1" s="1"/>
  <c r="EC81" i="1" s="1"/>
  <c r="AE67" i="1"/>
  <c r="BK87" i="1"/>
  <c r="AC52" i="1"/>
  <c r="BL82" i="1"/>
  <c r="AD47" i="1"/>
  <c r="BK95" i="1"/>
  <c r="AC60" i="1"/>
  <c r="BK93" i="1"/>
  <c r="AC58" i="1"/>
  <c r="BL90" i="1"/>
  <c r="AD55" i="1"/>
  <c r="BH91" i="1"/>
  <c r="Z56" i="1"/>
  <c r="BH88" i="1"/>
  <c r="Z53" i="1"/>
  <c r="BL89" i="1"/>
  <c r="AD54" i="1"/>
  <c r="BK77" i="1"/>
  <c r="AC42" i="1"/>
  <c r="BM80" i="1"/>
  <c r="AE45" i="1"/>
  <c r="BK99" i="1" l="1"/>
  <c r="EC80" i="1"/>
  <c r="EC79" i="1" s="1"/>
  <c r="EC78" i="1" s="1"/>
  <c r="EC77" i="1" s="1"/>
  <c r="EC76" i="1" s="1"/>
  <c r="EC75" i="1" s="1"/>
  <c r="AF74" i="1" s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F94" i="1" s="1"/>
  <c r="AF95" i="1" s="1"/>
  <c r="AF96" i="1" s="1"/>
  <c r="AF97" i="1" s="1"/>
  <c r="AF98" i="1" s="1"/>
  <c r="AF99" i="1" s="1"/>
  <c r="AF100" i="1" s="1"/>
  <c r="AF101" i="1" s="1"/>
  <c r="AF102" i="1" s="1"/>
  <c r="AF103" i="1" s="1"/>
  <c r="AF104" i="1" s="1"/>
  <c r="ED74" i="1"/>
  <c r="BI84" i="1"/>
  <c r="AA49" i="1"/>
  <c r="BK103" i="1"/>
  <c r="EA103" i="1" s="1"/>
  <c r="AC68" i="1"/>
  <c r="BK76" i="1"/>
  <c r="AC41" i="1"/>
  <c r="BJ99" i="1"/>
  <c r="AB64" i="1"/>
  <c r="BJ85" i="1"/>
  <c r="AB50" i="1"/>
  <c r="BL80" i="1"/>
  <c r="AD45" i="1"/>
  <c r="BJ77" i="1"/>
  <c r="AB42" i="1"/>
  <c r="BG81" i="1"/>
  <c r="Y46" i="1"/>
  <c r="BI98" i="1"/>
  <c r="AA63" i="1"/>
  <c r="BK79" i="1"/>
  <c r="AC44" i="1"/>
  <c r="BJ94" i="1"/>
  <c r="AB59" i="1"/>
  <c r="BL75" i="1"/>
  <c r="AD40" i="1"/>
  <c r="BG91" i="1"/>
  <c r="Y56" i="1"/>
  <c r="BK90" i="1"/>
  <c r="AC55" i="1"/>
  <c r="BK89" i="1"/>
  <c r="AC54" i="1"/>
  <c r="BJ93" i="1"/>
  <c r="AB58" i="1"/>
  <c r="BL102" i="1"/>
  <c r="EB102" i="1" s="1"/>
  <c r="EB101" i="1" s="1"/>
  <c r="EB100" i="1" s="1"/>
  <c r="EB99" i="1" s="1"/>
  <c r="EB98" i="1" s="1"/>
  <c r="EB97" i="1" s="1"/>
  <c r="EB96" i="1" s="1"/>
  <c r="EB95" i="1" s="1"/>
  <c r="EB94" i="1" s="1"/>
  <c r="EB93" i="1" s="1"/>
  <c r="EB92" i="1" s="1"/>
  <c r="EB91" i="1" s="1"/>
  <c r="EB90" i="1" s="1"/>
  <c r="EB89" i="1" s="1"/>
  <c r="EB88" i="1" s="1"/>
  <c r="EB87" i="1" s="1"/>
  <c r="EB86" i="1" s="1"/>
  <c r="EB85" i="1" s="1"/>
  <c r="EB84" i="1" s="1"/>
  <c r="EB83" i="1" s="1"/>
  <c r="EB82" i="1" s="1"/>
  <c r="EB81" i="1" s="1"/>
  <c r="AD67" i="1"/>
  <c r="BK104" i="1"/>
  <c r="AC69" i="1"/>
  <c r="BJ78" i="1"/>
  <c r="AB43" i="1"/>
  <c r="BK74" i="1"/>
  <c r="AC39" i="1"/>
  <c r="BI97" i="1"/>
  <c r="AA62" i="1"/>
  <c r="BI96" i="1"/>
  <c r="AA61" i="1"/>
  <c r="BG88" i="1"/>
  <c r="Y53" i="1"/>
  <c r="BK82" i="1"/>
  <c r="AC47" i="1"/>
  <c r="BJ87" i="1"/>
  <c r="AB52" i="1"/>
  <c r="BJ95" i="1"/>
  <c r="AB60" i="1"/>
  <c r="BI83" i="1"/>
  <c r="AA48" i="1"/>
  <c r="BK86" i="1"/>
  <c r="AC51" i="1"/>
  <c r="BJ101" i="1"/>
  <c r="AB66" i="1"/>
  <c r="BH92" i="1"/>
  <c r="Z57" i="1"/>
  <c r="BK100" i="1"/>
  <c r="AC65" i="1"/>
  <c r="EB80" i="1" l="1"/>
  <c r="EB79" i="1" s="1"/>
  <c r="EB78" i="1" s="1"/>
  <c r="EB77" i="1" s="1"/>
  <c r="EB76" i="1" s="1"/>
  <c r="EB75" i="1" s="1"/>
  <c r="EB74" i="1" s="1"/>
  <c r="EC74" i="1"/>
  <c r="BJ89" i="1"/>
  <c r="AB54" i="1"/>
  <c r="BJ76" i="1"/>
  <c r="AB41" i="1"/>
  <c r="BF88" i="1"/>
  <c r="X53" i="1"/>
  <c r="BG92" i="1"/>
  <c r="Y57" i="1"/>
  <c r="BJ104" i="1"/>
  <c r="AB69" i="1"/>
  <c r="BJ90" i="1"/>
  <c r="AB55" i="1"/>
  <c r="BJ79" i="1"/>
  <c r="AB44" i="1"/>
  <c r="BK80" i="1"/>
  <c r="AC45" i="1"/>
  <c r="BJ100" i="1"/>
  <c r="AB65" i="1"/>
  <c r="BJ103" i="1"/>
  <c r="DZ103" i="1" s="1"/>
  <c r="AB68" i="1"/>
  <c r="BI77" i="1"/>
  <c r="AA42" i="1"/>
  <c r="BH96" i="1"/>
  <c r="Z61" i="1"/>
  <c r="BH97" i="1"/>
  <c r="Z62" i="1"/>
  <c r="BK102" i="1"/>
  <c r="EA102" i="1" s="1"/>
  <c r="EA101" i="1" s="1"/>
  <c r="EA100" i="1" s="1"/>
  <c r="EA99" i="1" s="1"/>
  <c r="EA98" i="1" s="1"/>
  <c r="EA97" i="1" s="1"/>
  <c r="EA96" i="1" s="1"/>
  <c r="EA95" i="1" s="1"/>
  <c r="EA94" i="1" s="1"/>
  <c r="EA93" i="1" s="1"/>
  <c r="EA92" i="1" s="1"/>
  <c r="EA91" i="1" s="1"/>
  <c r="EA90" i="1" s="1"/>
  <c r="EA89" i="1" s="1"/>
  <c r="EA88" i="1" s="1"/>
  <c r="EA87" i="1" s="1"/>
  <c r="EA86" i="1" s="1"/>
  <c r="EA85" i="1" s="1"/>
  <c r="EA84" i="1" s="1"/>
  <c r="EA83" i="1" s="1"/>
  <c r="EA82" i="1" s="1"/>
  <c r="EA81" i="1" s="1"/>
  <c r="AC67" i="1"/>
  <c r="BF91" i="1"/>
  <c r="X56" i="1"/>
  <c r="BH98" i="1"/>
  <c r="Z63" i="1"/>
  <c r="BI78" i="1"/>
  <c r="AA43" i="1"/>
  <c r="BI101" i="1"/>
  <c r="AA66" i="1"/>
  <c r="BI85" i="1"/>
  <c r="AA50" i="1"/>
  <c r="BH84" i="1"/>
  <c r="Z49" i="1"/>
  <c r="BH83" i="1"/>
  <c r="Z48" i="1"/>
  <c r="BI87" i="1"/>
  <c r="AA52" i="1"/>
  <c r="BJ86" i="1"/>
  <c r="AB51" i="1"/>
  <c r="BJ82" i="1"/>
  <c r="AB47" i="1"/>
  <c r="BJ74" i="1"/>
  <c r="AB39" i="1"/>
  <c r="BI93" i="1"/>
  <c r="AA58" i="1"/>
  <c r="BK75" i="1"/>
  <c r="AC40" i="1"/>
  <c r="BF81" i="1"/>
  <c r="X46" i="1"/>
  <c r="BI94" i="1"/>
  <c r="AA59" i="1"/>
  <c r="BI95" i="1"/>
  <c r="AA60" i="1"/>
  <c r="BI99" i="1"/>
  <c r="AA64" i="1"/>
  <c r="AE74" i="1" l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E94" i="1" s="1"/>
  <c r="AE95" i="1" s="1"/>
  <c r="AE96" i="1" s="1"/>
  <c r="AE97" i="1" s="1"/>
  <c r="AE98" i="1" s="1"/>
  <c r="AE99" i="1" s="1"/>
  <c r="AE100" i="1" s="1"/>
  <c r="AE101" i="1" s="1"/>
  <c r="AE102" i="1" s="1"/>
  <c r="AE103" i="1" s="1"/>
  <c r="AE104" i="1" s="1"/>
  <c r="EA80" i="1"/>
  <c r="EA79" i="1" s="1"/>
  <c r="EA78" i="1" s="1"/>
  <c r="EA77" i="1" s="1"/>
  <c r="EA76" i="1" s="1"/>
  <c r="EA75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AD94" i="1" s="1"/>
  <c r="AD95" i="1" s="1"/>
  <c r="AD96" i="1" s="1"/>
  <c r="AD97" i="1" s="1"/>
  <c r="AD98" i="1" s="1"/>
  <c r="AD99" i="1" s="1"/>
  <c r="AD100" i="1" s="1"/>
  <c r="AD101" i="1" s="1"/>
  <c r="AD102" i="1" s="1"/>
  <c r="AD103" i="1" s="1"/>
  <c r="AD104" i="1" s="1"/>
  <c r="BE91" i="1"/>
  <c r="W56" i="1"/>
  <c r="BH77" i="1"/>
  <c r="Z42" i="1"/>
  <c r="BI79" i="1"/>
  <c r="AA44" i="1"/>
  <c r="BE88" i="1"/>
  <c r="W53" i="1"/>
  <c r="BH87" i="1"/>
  <c r="Z52" i="1"/>
  <c r="BJ102" i="1"/>
  <c r="DZ102" i="1" s="1"/>
  <c r="DZ101" i="1" s="1"/>
  <c r="DZ100" i="1" s="1"/>
  <c r="DZ99" i="1" s="1"/>
  <c r="DZ98" i="1" s="1"/>
  <c r="DZ97" i="1" s="1"/>
  <c r="DZ96" i="1" s="1"/>
  <c r="DZ95" i="1" s="1"/>
  <c r="DZ94" i="1" s="1"/>
  <c r="DZ93" i="1" s="1"/>
  <c r="DZ92" i="1" s="1"/>
  <c r="DZ91" i="1" s="1"/>
  <c r="DZ90" i="1" s="1"/>
  <c r="DZ89" i="1" s="1"/>
  <c r="DZ88" i="1" s="1"/>
  <c r="DZ87" i="1" s="1"/>
  <c r="DZ86" i="1" s="1"/>
  <c r="DZ85" i="1" s="1"/>
  <c r="DZ84" i="1" s="1"/>
  <c r="DZ83" i="1" s="1"/>
  <c r="DZ82" i="1" s="1"/>
  <c r="DZ81" i="1" s="1"/>
  <c r="AB67" i="1"/>
  <c r="BI103" i="1"/>
  <c r="DY103" i="1" s="1"/>
  <c r="AA68" i="1"/>
  <c r="BI90" i="1"/>
  <c r="AA55" i="1"/>
  <c r="BI76" i="1"/>
  <c r="AA41" i="1"/>
  <c r="BH93" i="1"/>
  <c r="Z58" i="1"/>
  <c r="BH101" i="1"/>
  <c r="Z66" i="1"/>
  <c r="BG83" i="1"/>
  <c r="Y48" i="1"/>
  <c r="BH78" i="1"/>
  <c r="Z43" i="1"/>
  <c r="BI74" i="1"/>
  <c r="AA39" i="1"/>
  <c r="BG97" i="1"/>
  <c r="Y62" i="1"/>
  <c r="BI100" i="1"/>
  <c r="AA65" i="1"/>
  <c r="BI104" i="1"/>
  <c r="AA69" i="1"/>
  <c r="BI89" i="1"/>
  <c r="AA54" i="1"/>
  <c r="BH95" i="1"/>
  <c r="Z60" i="1"/>
  <c r="BH94" i="1"/>
  <c r="Z59" i="1"/>
  <c r="BE81" i="1"/>
  <c r="W46" i="1"/>
  <c r="BI82" i="1"/>
  <c r="AA47" i="1"/>
  <c r="BG84" i="1"/>
  <c r="Y49" i="1"/>
  <c r="BG98" i="1"/>
  <c r="Y63" i="1"/>
  <c r="BG96" i="1"/>
  <c r="Y61" i="1"/>
  <c r="BJ80" i="1"/>
  <c r="AB45" i="1"/>
  <c r="BF92" i="1"/>
  <c r="X57" i="1"/>
  <c r="BH99" i="1"/>
  <c r="Z64" i="1"/>
  <c r="BJ75" i="1"/>
  <c r="AB40" i="1"/>
  <c r="BI86" i="1"/>
  <c r="AA51" i="1"/>
  <c r="BH85" i="1"/>
  <c r="Z50" i="1"/>
  <c r="EA74" i="1" l="1"/>
  <c r="DZ80" i="1"/>
  <c r="DZ79" i="1" s="1"/>
  <c r="DZ78" i="1" s="1"/>
  <c r="DZ77" i="1" s="1"/>
  <c r="DZ76" i="1" s="1"/>
  <c r="DZ75" i="1" s="1"/>
  <c r="DZ74" i="1" s="1"/>
  <c r="BG95" i="1"/>
  <c r="Y60" i="1"/>
  <c r="BG101" i="1"/>
  <c r="Y66" i="1"/>
  <c r="BH103" i="1"/>
  <c r="DX103" i="1" s="1"/>
  <c r="Z68" i="1"/>
  <c r="BH79" i="1"/>
  <c r="Z44" i="1"/>
  <c r="BE92" i="1"/>
  <c r="W57" i="1"/>
  <c r="BH82" i="1"/>
  <c r="Z47" i="1"/>
  <c r="BH86" i="1"/>
  <c r="Z51" i="1"/>
  <c r="BG93" i="1"/>
  <c r="Y58" i="1"/>
  <c r="BI102" i="1"/>
  <c r="DY102" i="1" s="1"/>
  <c r="DY101" i="1" s="1"/>
  <c r="DY100" i="1" s="1"/>
  <c r="DY99" i="1" s="1"/>
  <c r="DY98" i="1" s="1"/>
  <c r="DY97" i="1" s="1"/>
  <c r="DY96" i="1" s="1"/>
  <c r="DY95" i="1" s="1"/>
  <c r="DY94" i="1" s="1"/>
  <c r="DY93" i="1" s="1"/>
  <c r="DY92" i="1" s="1"/>
  <c r="DY91" i="1" s="1"/>
  <c r="DY90" i="1" s="1"/>
  <c r="DY89" i="1" s="1"/>
  <c r="DY88" i="1" s="1"/>
  <c r="DY87" i="1" s="1"/>
  <c r="DY86" i="1" s="1"/>
  <c r="DY85" i="1" s="1"/>
  <c r="DY84" i="1" s="1"/>
  <c r="DY83" i="1" s="1"/>
  <c r="DY82" i="1" s="1"/>
  <c r="DY81" i="1" s="1"/>
  <c r="AA67" i="1"/>
  <c r="BG77" i="1"/>
  <c r="Y42" i="1"/>
  <c r="BF84" i="1"/>
  <c r="X49" i="1"/>
  <c r="BH89" i="1"/>
  <c r="Z54" i="1"/>
  <c r="BD81" i="1"/>
  <c r="V46" i="1"/>
  <c r="BG78" i="1"/>
  <c r="Y43" i="1"/>
  <c r="BH76" i="1"/>
  <c r="Z41" i="1"/>
  <c r="BG87" i="1"/>
  <c r="Y52" i="1"/>
  <c r="BD91" i="1"/>
  <c r="V56" i="1"/>
  <c r="BI80" i="1"/>
  <c r="AA45" i="1"/>
  <c r="BI75" i="1"/>
  <c r="AA40" i="1"/>
  <c r="BH104" i="1"/>
  <c r="Z69" i="1"/>
  <c r="BF98" i="1"/>
  <c r="X63" i="1"/>
  <c r="BG94" i="1"/>
  <c r="Y59" i="1"/>
  <c r="BH100" i="1"/>
  <c r="Z65" i="1"/>
  <c r="BG85" i="1"/>
  <c r="Y50" i="1"/>
  <c r="BH74" i="1"/>
  <c r="Z39" i="1"/>
  <c r="BF96" i="1"/>
  <c r="X61" i="1"/>
  <c r="BG99" i="1"/>
  <c r="Y64" i="1"/>
  <c r="BF83" i="1"/>
  <c r="X48" i="1"/>
  <c r="BH90" i="1"/>
  <c r="Z55" i="1"/>
  <c r="BD88" i="1"/>
  <c r="V53" i="1"/>
  <c r="BF97" i="1"/>
  <c r="X62" i="1"/>
  <c r="DY80" i="1" l="1"/>
  <c r="DY79" i="1" s="1"/>
  <c r="DY78" i="1" s="1"/>
  <c r="DY77" i="1" s="1"/>
  <c r="DY76" i="1" s="1"/>
  <c r="DY75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AB94" i="1" s="1"/>
  <c r="AB95" i="1" s="1"/>
  <c r="AB96" i="1" s="1"/>
  <c r="AB97" i="1" s="1"/>
  <c r="AB98" i="1" s="1"/>
  <c r="AB99" i="1" s="1"/>
  <c r="AB100" i="1" s="1"/>
  <c r="AB101" i="1" s="1"/>
  <c r="AB102" i="1" s="1"/>
  <c r="AB103" i="1" s="1"/>
  <c r="AB104" i="1" s="1"/>
  <c r="AC74" i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AC94" i="1" s="1"/>
  <c r="AC95" i="1" s="1"/>
  <c r="AC96" i="1" s="1"/>
  <c r="AC97" i="1" s="1"/>
  <c r="AC98" i="1" s="1"/>
  <c r="AC99" i="1" s="1"/>
  <c r="AC100" i="1" s="1"/>
  <c r="AC101" i="1" s="1"/>
  <c r="AC102" i="1" s="1"/>
  <c r="AC103" i="1" s="1"/>
  <c r="AC104" i="1" s="1"/>
  <c r="BG79" i="1"/>
  <c r="Y44" i="1"/>
  <c r="BG86" i="1"/>
  <c r="Y51" i="1"/>
  <c r="BG103" i="1"/>
  <c r="DW103" i="1" s="1"/>
  <c r="Y68" i="1"/>
  <c r="BE96" i="1"/>
  <c r="W61" i="1"/>
  <c r="BE98" i="1"/>
  <c r="W63" i="1"/>
  <c r="BG82" i="1"/>
  <c r="Y47" i="1"/>
  <c r="BF101" i="1"/>
  <c r="X66" i="1"/>
  <c r="BF94" i="1"/>
  <c r="X59" i="1"/>
  <c r="BG74" i="1"/>
  <c r="Y39" i="1"/>
  <c r="BF77" i="1"/>
  <c r="X42" i="1"/>
  <c r="BF85" i="1"/>
  <c r="X50" i="1"/>
  <c r="BF87" i="1"/>
  <c r="X52" i="1"/>
  <c r="BG89" i="1"/>
  <c r="Y54" i="1"/>
  <c r="BH102" i="1"/>
  <c r="DX102" i="1" s="1"/>
  <c r="DX101" i="1" s="1"/>
  <c r="DX100" i="1" s="1"/>
  <c r="DX99" i="1" s="1"/>
  <c r="DX98" i="1" s="1"/>
  <c r="DX97" i="1" s="1"/>
  <c r="DX96" i="1" s="1"/>
  <c r="DX95" i="1" s="1"/>
  <c r="DX94" i="1" s="1"/>
  <c r="DX93" i="1" s="1"/>
  <c r="DX92" i="1" s="1"/>
  <c r="DX91" i="1" s="1"/>
  <c r="DX90" i="1" s="1"/>
  <c r="DX89" i="1" s="1"/>
  <c r="DX88" i="1" s="1"/>
  <c r="DX87" i="1" s="1"/>
  <c r="DX86" i="1" s="1"/>
  <c r="DX85" i="1" s="1"/>
  <c r="DX84" i="1" s="1"/>
  <c r="DX83" i="1" s="1"/>
  <c r="DX82" i="1" s="1"/>
  <c r="DX81" i="1" s="1"/>
  <c r="Z67" i="1"/>
  <c r="BC88" i="1"/>
  <c r="U53" i="1"/>
  <c r="BF78" i="1"/>
  <c r="X43" i="1"/>
  <c r="BC81" i="1"/>
  <c r="U46" i="1"/>
  <c r="BD92" i="1"/>
  <c r="V57" i="1"/>
  <c r="BF95" i="1"/>
  <c r="X60" i="1"/>
  <c r="BH80" i="1"/>
  <c r="Z45" i="1"/>
  <c r="BG90" i="1"/>
  <c r="Y55" i="1"/>
  <c r="BC91" i="1"/>
  <c r="U56" i="1"/>
  <c r="BE83" i="1"/>
  <c r="W48" i="1"/>
  <c r="BG104" i="1"/>
  <c r="Y69" i="1"/>
  <c r="BE97" i="1"/>
  <c r="W62" i="1"/>
  <c r="BF99" i="1"/>
  <c r="X64" i="1"/>
  <c r="BG100" i="1"/>
  <c r="Y65" i="1"/>
  <c r="BH75" i="1"/>
  <c r="Z40" i="1"/>
  <c r="BG76" i="1"/>
  <c r="Y41" i="1"/>
  <c r="BE84" i="1"/>
  <c r="W49" i="1"/>
  <c r="BF93" i="1"/>
  <c r="X58" i="1"/>
  <c r="DX80" i="1" l="1"/>
  <c r="DX79" i="1" s="1"/>
  <c r="DX78" i="1" s="1"/>
  <c r="DX77" i="1" s="1"/>
  <c r="DX76" i="1" s="1"/>
  <c r="DX75" i="1" s="1"/>
  <c r="DX74" i="1" s="1"/>
  <c r="DY74" i="1"/>
  <c r="BE99" i="1"/>
  <c r="W64" i="1"/>
  <c r="BE77" i="1"/>
  <c r="W42" i="1"/>
  <c r="BF82" i="1"/>
  <c r="X47" i="1"/>
  <c r="BF103" i="1"/>
  <c r="DV103" i="1" s="1"/>
  <c r="X68" i="1"/>
  <c r="BG102" i="1"/>
  <c r="DW102" i="1" s="1"/>
  <c r="DW101" i="1" s="1"/>
  <c r="DW100" i="1" s="1"/>
  <c r="DW99" i="1" s="1"/>
  <c r="DW98" i="1" s="1"/>
  <c r="DW97" i="1" s="1"/>
  <c r="DW96" i="1" s="1"/>
  <c r="DW95" i="1" s="1"/>
  <c r="DW94" i="1" s="1"/>
  <c r="DW93" i="1" s="1"/>
  <c r="DW92" i="1" s="1"/>
  <c r="DW91" i="1" s="1"/>
  <c r="DW90" i="1" s="1"/>
  <c r="DW89" i="1" s="1"/>
  <c r="DW88" i="1" s="1"/>
  <c r="DW87" i="1" s="1"/>
  <c r="DW86" i="1" s="1"/>
  <c r="DW85" i="1" s="1"/>
  <c r="DW84" i="1" s="1"/>
  <c r="DW83" i="1" s="1"/>
  <c r="DW82" i="1" s="1"/>
  <c r="DW81" i="1" s="1"/>
  <c r="Y67" i="1"/>
  <c r="BF76" i="1"/>
  <c r="X41" i="1"/>
  <c r="BF89" i="1"/>
  <c r="X54" i="1"/>
  <c r="BF74" i="1"/>
  <c r="X39" i="1"/>
  <c r="BD98" i="1"/>
  <c r="V63" i="1"/>
  <c r="BF86" i="1"/>
  <c r="X51" i="1"/>
  <c r="BD84" i="1"/>
  <c r="V49" i="1"/>
  <c r="BD97" i="1"/>
  <c r="V62" i="1"/>
  <c r="BG75" i="1"/>
  <c r="Y40" i="1"/>
  <c r="BG80" i="1"/>
  <c r="Y45" i="1"/>
  <c r="BE78" i="1"/>
  <c r="W43" i="1"/>
  <c r="BE87" i="1"/>
  <c r="W52" i="1"/>
  <c r="BE94" i="1"/>
  <c r="W59" i="1"/>
  <c r="BD96" i="1"/>
  <c r="V61" i="1"/>
  <c r="BB91" i="1"/>
  <c r="T56" i="1"/>
  <c r="BF90" i="1"/>
  <c r="X55" i="1"/>
  <c r="BF79" i="1"/>
  <c r="X44" i="1"/>
  <c r="BC92" i="1"/>
  <c r="U57" i="1"/>
  <c r="BB81" i="1"/>
  <c r="T46" i="1"/>
  <c r="BF104" i="1"/>
  <c r="X69" i="1"/>
  <c r="BE93" i="1"/>
  <c r="W58" i="1"/>
  <c r="BF100" i="1"/>
  <c r="X65" i="1"/>
  <c r="BD83" i="1"/>
  <c r="V48" i="1"/>
  <c r="BE95" i="1"/>
  <c r="W60" i="1"/>
  <c r="BB88" i="1"/>
  <c r="T53" i="1"/>
  <c r="BE85" i="1"/>
  <c r="W50" i="1"/>
  <c r="BE101" i="1"/>
  <c r="W66" i="1"/>
  <c r="AA74" i="1" l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DW80" i="1"/>
  <c r="DW79" i="1" s="1"/>
  <c r="DW78" i="1" s="1"/>
  <c r="DW77" i="1" s="1"/>
  <c r="DW76" i="1" s="1"/>
  <c r="DW75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BE89" i="1"/>
  <c r="W54" i="1"/>
  <c r="BE82" i="1"/>
  <c r="W47" i="1"/>
  <c r="BE100" i="1"/>
  <c r="W65" i="1"/>
  <c r="BC96" i="1"/>
  <c r="U61" i="1"/>
  <c r="BF80" i="1"/>
  <c r="X45" i="1"/>
  <c r="BE86" i="1"/>
  <c r="W51" i="1"/>
  <c r="BE76" i="1"/>
  <c r="W41" i="1"/>
  <c r="BD77" i="1"/>
  <c r="V42" i="1"/>
  <c r="BB92" i="1"/>
  <c r="T57" i="1"/>
  <c r="BD93" i="1"/>
  <c r="V58" i="1"/>
  <c r="BD94" i="1"/>
  <c r="V59" i="1"/>
  <c r="BC98" i="1"/>
  <c r="U63" i="1"/>
  <c r="BF102" i="1"/>
  <c r="DV102" i="1" s="1"/>
  <c r="DV101" i="1" s="1"/>
  <c r="DV100" i="1" s="1"/>
  <c r="DV99" i="1" s="1"/>
  <c r="DV98" i="1" s="1"/>
  <c r="DV97" i="1" s="1"/>
  <c r="DV96" i="1" s="1"/>
  <c r="DV95" i="1" s="1"/>
  <c r="DV94" i="1" s="1"/>
  <c r="DV93" i="1" s="1"/>
  <c r="DV92" i="1" s="1"/>
  <c r="DV91" i="1" s="1"/>
  <c r="DV90" i="1" s="1"/>
  <c r="DV89" i="1" s="1"/>
  <c r="DV88" i="1" s="1"/>
  <c r="DV87" i="1" s="1"/>
  <c r="DV86" i="1" s="1"/>
  <c r="DV85" i="1" s="1"/>
  <c r="DV84" i="1" s="1"/>
  <c r="DV83" i="1" s="1"/>
  <c r="DV82" i="1" s="1"/>
  <c r="DV81" i="1" s="1"/>
  <c r="X67" i="1"/>
  <c r="BD99" i="1"/>
  <c r="V64" i="1"/>
  <c r="BD85" i="1"/>
  <c r="V50" i="1"/>
  <c r="BA88" i="1"/>
  <c r="S53" i="1"/>
  <c r="BE79" i="1"/>
  <c r="W44" i="1"/>
  <c r="BF75" i="1"/>
  <c r="X40" i="1"/>
  <c r="BD95" i="1"/>
  <c r="V60" i="1"/>
  <c r="BE104" i="1"/>
  <c r="W69" i="1"/>
  <c r="BE90" i="1"/>
  <c r="W55" i="1"/>
  <c r="BD87" i="1"/>
  <c r="V52" i="1"/>
  <c r="BC97" i="1"/>
  <c r="U62" i="1"/>
  <c r="BE74" i="1"/>
  <c r="W39" i="1"/>
  <c r="BE103" i="1"/>
  <c r="DU103" i="1" s="1"/>
  <c r="W68" i="1"/>
  <c r="BD101" i="1"/>
  <c r="V66" i="1"/>
  <c r="BC83" i="1"/>
  <c r="U48" i="1"/>
  <c r="BA81" i="1"/>
  <c r="S46" i="1"/>
  <c r="BA91" i="1"/>
  <c r="S56" i="1"/>
  <c r="BD78" i="1"/>
  <c r="V43" i="1"/>
  <c r="BC84" i="1"/>
  <c r="U49" i="1"/>
  <c r="DV80" i="1" l="1"/>
  <c r="DV79" i="1" s="1"/>
  <c r="DV78" i="1" s="1"/>
  <c r="DV77" i="1" s="1"/>
  <c r="DV76" i="1" s="1"/>
  <c r="DV75" i="1" s="1"/>
  <c r="DV74" i="1" s="1"/>
  <c r="DW74" i="1"/>
  <c r="BB97" i="1"/>
  <c r="T62" i="1"/>
  <c r="BC85" i="1"/>
  <c r="U50" i="1"/>
  <c r="BC94" i="1"/>
  <c r="U59" i="1"/>
  <c r="BC77" i="1"/>
  <c r="U42" i="1"/>
  <c r="BB96" i="1"/>
  <c r="T61" i="1"/>
  <c r="BC95" i="1"/>
  <c r="U60" i="1"/>
  <c r="BC101" i="1"/>
  <c r="U66" i="1"/>
  <c r="BC99" i="1"/>
  <c r="U64" i="1"/>
  <c r="BC93" i="1"/>
  <c r="U58" i="1"/>
  <c r="BD76" i="1"/>
  <c r="V41" i="1"/>
  <c r="BD100" i="1"/>
  <c r="V65" i="1"/>
  <c r="BB84" i="1"/>
  <c r="T49" i="1"/>
  <c r="BC78" i="1"/>
  <c r="U43" i="1"/>
  <c r="BC87" i="1"/>
  <c r="U52" i="1"/>
  <c r="AZ91" i="1"/>
  <c r="R56" i="1"/>
  <c r="BD103" i="1"/>
  <c r="DT103" i="1" s="1"/>
  <c r="V68" i="1"/>
  <c r="BD90" i="1"/>
  <c r="V55" i="1"/>
  <c r="BD79" i="1"/>
  <c r="V44" i="1"/>
  <c r="BE102" i="1"/>
  <c r="DU102" i="1" s="1"/>
  <c r="DU101" i="1" s="1"/>
  <c r="DU100" i="1" s="1"/>
  <c r="DU99" i="1" s="1"/>
  <c r="DU98" i="1" s="1"/>
  <c r="DU97" i="1" s="1"/>
  <c r="DU96" i="1" s="1"/>
  <c r="DU95" i="1" s="1"/>
  <c r="DU94" i="1" s="1"/>
  <c r="DU93" i="1" s="1"/>
  <c r="DU92" i="1" s="1"/>
  <c r="DU91" i="1" s="1"/>
  <c r="DU90" i="1" s="1"/>
  <c r="DU89" i="1" s="1"/>
  <c r="DU88" i="1" s="1"/>
  <c r="DU87" i="1" s="1"/>
  <c r="DU86" i="1" s="1"/>
  <c r="DU85" i="1" s="1"/>
  <c r="DU84" i="1" s="1"/>
  <c r="DU83" i="1" s="1"/>
  <c r="DU82" i="1" s="1"/>
  <c r="DU81" i="1" s="1"/>
  <c r="W67" i="1"/>
  <c r="BA92" i="1"/>
  <c r="S57" i="1"/>
  <c r="BD86" i="1"/>
  <c r="V51" i="1"/>
  <c r="BD82" i="1"/>
  <c r="V47" i="1"/>
  <c r="BB83" i="1"/>
  <c r="T48" i="1"/>
  <c r="BE75" i="1"/>
  <c r="W40" i="1"/>
  <c r="AZ81" i="1"/>
  <c r="R46" i="1"/>
  <c r="BD74" i="1"/>
  <c r="V39" i="1"/>
  <c r="BD104" i="1"/>
  <c r="V69" i="1"/>
  <c r="AZ88" i="1"/>
  <c r="R53" i="1"/>
  <c r="BB98" i="1"/>
  <c r="T63" i="1"/>
  <c r="BE80" i="1"/>
  <c r="W45" i="1"/>
  <c r="BD89" i="1"/>
  <c r="V54" i="1"/>
  <c r="DU80" i="1" l="1"/>
  <c r="DU79" i="1" s="1"/>
  <c r="DU78" i="1" s="1"/>
  <c r="DU77" i="1" s="1"/>
  <c r="DU76" i="1" s="1"/>
  <c r="DU75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Y74" i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BB99" i="1"/>
  <c r="T64" i="1"/>
  <c r="BB77" i="1"/>
  <c r="T42" i="1"/>
  <c r="BC82" i="1"/>
  <c r="U47" i="1"/>
  <c r="BC100" i="1"/>
  <c r="U65" i="1"/>
  <c r="BB101" i="1"/>
  <c r="T66" i="1"/>
  <c r="BB94" i="1"/>
  <c r="T59" i="1"/>
  <c r="AY91" i="1"/>
  <c r="Q56" i="1"/>
  <c r="BC79" i="1"/>
  <c r="U44" i="1"/>
  <c r="AY81" i="1"/>
  <c r="Q46" i="1"/>
  <c r="BD102" i="1"/>
  <c r="DT102" i="1" s="1"/>
  <c r="DT101" i="1" s="1"/>
  <c r="DT100" i="1" s="1"/>
  <c r="DT99" i="1" s="1"/>
  <c r="DT98" i="1" s="1"/>
  <c r="DT97" i="1" s="1"/>
  <c r="DT96" i="1" s="1"/>
  <c r="DT95" i="1" s="1"/>
  <c r="DT94" i="1" s="1"/>
  <c r="DT93" i="1" s="1"/>
  <c r="DT92" i="1" s="1"/>
  <c r="DT91" i="1" s="1"/>
  <c r="DT90" i="1" s="1"/>
  <c r="DT89" i="1" s="1"/>
  <c r="DT88" i="1" s="1"/>
  <c r="DT87" i="1" s="1"/>
  <c r="DT86" i="1" s="1"/>
  <c r="DT85" i="1" s="1"/>
  <c r="DT84" i="1" s="1"/>
  <c r="DT83" i="1" s="1"/>
  <c r="DT82" i="1" s="1"/>
  <c r="DT81" i="1" s="1"/>
  <c r="V67" i="1"/>
  <c r="BC74" i="1"/>
  <c r="U39" i="1"/>
  <c r="BC86" i="1"/>
  <c r="U51" i="1"/>
  <c r="BC90" i="1"/>
  <c r="U55" i="1"/>
  <c r="BB78" i="1"/>
  <c r="T43" i="1"/>
  <c r="BC76" i="1"/>
  <c r="U41" i="1"/>
  <c r="BB95" i="1"/>
  <c r="T60" i="1"/>
  <c r="BB85" i="1"/>
  <c r="T50" i="1"/>
  <c r="BD80" i="1"/>
  <c r="V45" i="1"/>
  <c r="BB87" i="1"/>
  <c r="T52" i="1"/>
  <c r="AY88" i="1"/>
  <c r="Q53" i="1"/>
  <c r="BD75" i="1"/>
  <c r="V40" i="1"/>
  <c r="AZ92" i="1"/>
  <c r="R57" i="1"/>
  <c r="BC103" i="1"/>
  <c r="DS103" i="1" s="1"/>
  <c r="U68" i="1"/>
  <c r="BA84" i="1"/>
  <c r="S49" i="1"/>
  <c r="BB93" i="1"/>
  <c r="T58" i="1"/>
  <c r="BA96" i="1"/>
  <c r="S61" i="1"/>
  <c r="BA97" i="1"/>
  <c r="S62" i="1"/>
  <c r="BA98" i="1"/>
  <c r="S63" i="1"/>
  <c r="BC89" i="1"/>
  <c r="U54" i="1"/>
  <c r="BC104" i="1"/>
  <c r="U69" i="1"/>
  <c r="BA83" i="1"/>
  <c r="S48" i="1"/>
  <c r="DT80" i="1" l="1"/>
  <c r="DT79" i="1" s="1"/>
  <c r="DT78" i="1" s="1"/>
  <c r="DT77" i="1" s="1"/>
  <c r="DT76" i="1" s="1"/>
  <c r="DT75" i="1" s="1"/>
  <c r="DT74" i="1" s="1"/>
  <c r="DU74" i="1"/>
  <c r="BB103" i="1"/>
  <c r="DR103" i="1" s="1"/>
  <c r="T68" i="1"/>
  <c r="BB76" i="1"/>
  <c r="T41" i="1"/>
  <c r="BB74" i="1"/>
  <c r="T39" i="1"/>
  <c r="AX91" i="1"/>
  <c r="P56" i="1"/>
  <c r="BB82" i="1"/>
  <c r="T47" i="1"/>
  <c r="AZ97" i="1"/>
  <c r="R62" i="1"/>
  <c r="AY92" i="1"/>
  <c r="Q57" i="1"/>
  <c r="BA78" i="1"/>
  <c r="S43" i="1"/>
  <c r="BC102" i="1"/>
  <c r="DS102" i="1" s="1"/>
  <c r="DS101" i="1" s="1"/>
  <c r="DS100" i="1" s="1"/>
  <c r="DS99" i="1" s="1"/>
  <c r="DS98" i="1" s="1"/>
  <c r="DS97" i="1" s="1"/>
  <c r="DS96" i="1" s="1"/>
  <c r="DS95" i="1" s="1"/>
  <c r="DS94" i="1" s="1"/>
  <c r="DS93" i="1" s="1"/>
  <c r="DS92" i="1" s="1"/>
  <c r="DS91" i="1" s="1"/>
  <c r="DS90" i="1" s="1"/>
  <c r="DS89" i="1" s="1"/>
  <c r="DS88" i="1" s="1"/>
  <c r="DS87" i="1" s="1"/>
  <c r="DS86" i="1" s="1"/>
  <c r="DS85" i="1" s="1"/>
  <c r="DS84" i="1" s="1"/>
  <c r="DS83" i="1" s="1"/>
  <c r="DS82" i="1" s="1"/>
  <c r="DS81" i="1" s="1"/>
  <c r="U67" i="1"/>
  <c r="BA94" i="1"/>
  <c r="S59" i="1"/>
  <c r="BA77" i="1"/>
  <c r="S42" i="1"/>
  <c r="BA87" i="1"/>
  <c r="S52" i="1"/>
  <c r="BB104" i="1"/>
  <c r="T69" i="1"/>
  <c r="BC80" i="1"/>
  <c r="U45" i="1"/>
  <c r="BA93" i="1"/>
  <c r="S58" i="1"/>
  <c r="BC75" i="1"/>
  <c r="U40" i="1"/>
  <c r="BA85" i="1"/>
  <c r="S50" i="1"/>
  <c r="BB90" i="1"/>
  <c r="T55" i="1"/>
  <c r="AX81" i="1"/>
  <c r="P46" i="1"/>
  <c r="BA101" i="1"/>
  <c r="S66" i="1"/>
  <c r="BA99" i="1"/>
  <c r="S64" i="1"/>
  <c r="AZ83" i="1"/>
  <c r="R48" i="1"/>
  <c r="AZ96" i="1"/>
  <c r="R61" i="1"/>
  <c r="BB89" i="1"/>
  <c r="T54" i="1"/>
  <c r="AZ98" i="1"/>
  <c r="R63" i="1"/>
  <c r="AZ84" i="1"/>
  <c r="R49" i="1"/>
  <c r="AX88" i="1"/>
  <c r="P53" i="1"/>
  <c r="BA95" i="1"/>
  <c r="S60" i="1"/>
  <c r="BB86" i="1"/>
  <c r="T51" i="1"/>
  <c r="BB79" i="1"/>
  <c r="T44" i="1"/>
  <c r="BB100" i="1"/>
  <c r="T65" i="1"/>
  <c r="W74" i="1" l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DS80" i="1"/>
  <c r="DS79" i="1" s="1"/>
  <c r="DS78" i="1" s="1"/>
  <c r="DS77" i="1" s="1"/>
  <c r="DS76" i="1" s="1"/>
  <c r="DS75" i="1" s="1"/>
  <c r="DS74" i="1" s="1"/>
  <c r="AZ77" i="1"/>
  <c r="R42" i="1"/>
  <c r="AX92" i="1"/>
  <c r="P57" i="1"/>
  <c r="AW91" i="1"/>
  <c r="O56" i="1"/>
  <c r="AY83" i="1"/>
  <c r="Q48" i="1"/>
  <c r="BA90" i="1"/>
  <c r="S55" i="1"/>
  <c r="BB80" i="1"/>
  <c r="T45" i="1"/>
  <c r="AZ94" i="1"/>
  <c r="R59" i="1"/>
  <c r="AY97" i="1"/>
  <c r="Q62" i="1"/>
  <c r="BA74" i="1"/>
  <c r="S39" i="1"/>
  <c r="BA86" i="1"/>
  <c r="S51" i="1"/>
  <c r="AY98" i="1"/>
  <c r="Q63" i="1"/>
  <c r="AZ99" i="1"/>
  <c r="R64" i="1"/>
  <c r="AZ85" i="1"/>
  <c r="R50" i="1"/>
  <c r="BA104" i="1"/>
  <c r="S69" i="1"/>
  <c r="BA76" i="1"/>
  <c r="S41" i="1"/>
  <c r="AY84" i="1"/>
  <c r="Q49" i="1"/>
  <c r="AZ95" i="1"/>
  <c r="R60" i="1"/>
  <c r="AZ101" i="1"/>
  <c r="R66" i="1"/>
  <c r="BB75" i="1"/>
  <c r="T40" i="1"/>
  <c r="AZ87" i="1"/>
  <c r="R52" i="1"/>
  <c r="BA89" i="1"/>
  <c r="S54" i="1"/>
  <c r="AZ78" i="1"/>
  <c r="R43" i="1"/>
  <c r="BA82" i="1"/>
  <c r="S47" i="1"/>
  <c r="BA103" i="1"/>
  <c r="DQ103" i="1" s="1"/>
  <c r="S68" i="1"/>
  <c r="BA79" i="1"/>
  <c r="S44" i="1"/>
  <c r="BB102" i="1"/>
  <c r="DR102" i="1" s="1"/>
  <c r="DR101" i="1" s="1"/>
  <c r="DR100" i="1" s="1"/>
  <c r="DR99" i="1" s="1"/>
  <c r="DR98" i="1" s="1"/>
  <c r="DR97" i="1" s="1"/>
  <c r="DR96" i="1" s="1"/>
  <c r="DR95" i="1" s="1"/>
  <c r="DR94" i="1" s="1"/>
  <c r="DR93" i="1" s="1"/>
  <c r="DR92" i="1" s="1"/>
  <c r="DR91" i="1" s="1"/>
  <c r="DR90" i="1" s="1"/>
  <c r="DR89" i="1" s="1"/>
  <c r="DR88" i="1" s="1"/>
  <c r="DR87" i="1" s="1"/>
  <c r="DR86" i="1" s="1"/>
  <c r="DR85" i="1" s="1"/>
  <c r="DR84" i="1" s="1"/>
  <c r="DR83" i="1" s="1"/>
  <c r="DR82" i="1" s="1"/>
  <c r="DR81" i="1" s="1"/>
  <c r="T67" i="1"/>
  <c r="BA100" i="1"/>
  <c r="S65" i="1"/>
  <c r="AW88" i="1"/>
  <c r="O53" i="1"/>
  <c r="AY96" i="1"/>
  <c r="Q61" i="1"/>
  <c r="AW81" i="1"/>
  <c r="O46" i="1"/>
  <c r="AZ93" i="1"/>
  <c r="R58" i="1"/>
  <c r="DR80" i="1" l="1"/>
  <c r="DR79" i="1" s="1"/>
  <c r="DR78" i="1" s="1"/>
  <c r="DR77" i="1" s="1"/>
  <c r="DR76" i="1" s="1"/>
  <c r="DR75" i="1" s="1"/>
  <c r="U74" i="1" s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U94" i="1" s="1"/>
  <c r="U95" i="1" s="1"/>
  <c r="U96" i="1" s="1"/>
  <c r="U97" i="1" s="1"/>
  <c r="U98" i="1" s="1"/>
  <c r="U99" i="1" s="1"/>
  <c r="U100" i="1" s="1"/>
  <c r="U101" i="1" s="1"/>
  <c r="U102" i="1" s="1"/>
  <c r="U103" i="1" s="1"/>
  <c r="U104" i="1" s="1"/>
  <c r="V74" i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V94" i="1" s="1"/>
  <c r="V95" i="1" s="1"/>
  <c r="V96" i="1" s="1"/>
  <c r="V97" i="1" s="1"/>
  <c r="V98" i="1" s="1"/>
  <c r="V99" i="1" s="1"/>
  <c r="V100" i="1" s="1"/>
  <c r="V101" i="1" s="1"/>
  <c r="V102" i="1" s="1"/>
  <c r="V103" i="1" s="1"/>
  <c r="V104" i="1" s="1"/>
  <c r="BA75" i="1"/>
  <c r="S40" i="1"/>
  <c r="AZ76" i="1"/>
  <c r="R41" i="1"/>
  <c r="AX98" i="1"/>
  <c r="P63" i="1"/>
  <c r="AY94" i="1"/>
  <c r="Q59" i="1"/>
  <c r="AV91" i="1"/>
  <c r="N56" i="1"/>
  <c r="AZ100" i="1"/>
  <c r="R65" i="1"/>
  <c r="AY101" i="1"/>
  <c r="Q66" i="1"/>
  <c r="AZ104" i="1"/>
  <c r="R69" i="1"/>
  <c r="AZ86" i="1"/>
  <c r="R51" i="1"/>
  <c r="BA80" i="1"/>
  <c r="S45" i="1"/>
  <c r="AW92" i="1"/>
  <c r="O57" i="1"/>
  <c r="AZ82" i="1"/>
  <c r="R47" i="1"/>
  <c r="AV81" i="1"/>
  <c r="N46" i="1"/>
  <c r="AY78" i="1"/>
  <c r="Q43" i="1"/>
  <c r="AX96" i="1"/>
  <c r="P61" i="1"/>
  <c r="AZ79" i="1"/>
  <c r="R44" i="1"/>
  <c r="AZ89" i="1"/>
  <c r="R54" i="1"/>
  <c r="AY95" i="1"/>
  <c r="Q60" i="1"/>
  <c r="AY85" i="1"/>
  <c r="Q50" i="1"/>
  <c r="AZ74" i="1"/>
  <c r="R39" i="1"/>
  <c r="AZ90" i="1"/>
  <c r="R55" i="1"/>
  <c r="AY77" i="1"/>
  <c r="Q42" i="1"/>
  <c r="AY93" i="1"/>
  <c r="Q58" i="1"/>
  <c r="BA102" i="1"/>
  <c r="DQ102" i="1" s="1"/>
  <c r="DQ101" i="1" s="1"/>
  <c r="DQ100" i="1" s="1"/>
  <c r="DQ99" i="1" s="1"/>
  <c r="DQ98" i="1" s="1"/>
  <c r="DQ97" i="1" s="1"/>
  <c r="DQ96" i="1" s="1"/>
  <c r="DQ95" i="1" s="1"/>
  <c r="DQ94" i="1" s="1"/>
  <c r="DQ93" i="1" s="1"/>
  <c r="DQ92" i="1" s="1"/>
  <c r="DQ91" i="1" s="1"/>
  <c r="DQ90" i="1" s="1"/>
  <c r="DQ89" i="1" s="1"/>
  <c r="DQ88" i="1" s="1"/>
  <c r="DQ87" i="1" s="1"/>
  <c r="DQ86" i="1" s="1"/>
  <c r="DQ85" i="1" s="1"/>
  <c r="DQ84" i="1" s="1"/>
  <c r="DQ83" i="1" s="1"/>
  <c r="DQ82" i="1" s="1"/>
  <c r="DQ81" i="1" s="1"/>
  <c r="S67" i="1"/>
  <c r="AV88" i="1"/>
  <c r="N53" i="1"/>
  <c r="AZ103" i="1"/>
  <c r="DP103" i="1" s="1"/>
  <c r="R68" i="1"/>
  <c r="AY87" i="1"/>
  <c r="Q52" i="1"/>
  <c r="AX84" i="1"/>
  <c r="P49" i="1"/>
  <c r="AY99" i="1"/>
  <c r="Q64" i="1"/>
  <c r="AX97" i="1"/>
  <c r="P62" i="1"/>
  <c r="AX83" i="1"/>
  <c r="P48" i="1"/>
  <c r="DR74" i="1" l="1"/>
  <c r="DQ80" i="1"/>
  <c r="DQ79" i="1" s="1"/>
  <c r="DQ78" i="1" s="1"/>
  <c r="DQ77" i="1" s="1"/>
  <c r="DQ76" i="1" s="1"/>
  <c r="DQ75" i="1" s="1"/>
  <c r="DQ74" i="1" s="1"/>
  <c r="AX85" i="1"/>
  <c r="P50" i="1"/>
  <c r="AV92" i="1"/>
  <c r="N57" i="1"/>
  <c r="AX101" i="1"/>
  <c r="P66" i="1"/>
  <c r="AW98" i="1"/>
  <c r="O63" i="1"/>
  <c r="AX99" i="1"/>
  <c r="P64" i="1"/>
  <c r="AU88" i="1"/>
  <c r="M53" i="1"/>
  <c r="AX77" i="1"/>
  <c r="P42" i="1"/>
  <c r="AX95" i="1"/>
  <c r="P60" i="1"/>
  <c r="AX78" i="1"/>
  <c r="P43" i="1"/>
  <c r="AZ80" i="1"/>
  <c r="R45" i="1"/>
  <c r="AY100" i="1"/>
  <c r="Q65" i="1"/>
  <c r="AY76" i="1"/>
  <c r="Q41" i="1"/>
  <c r="AW96" i="1"/>
  <c r="O61" i="1"/>
  <c r="AY103" i="1"/>
  <c r="DO103" i="1" s="1"/>
  <c r="Q68" i="1"/>
  <c r="AZ102" i="1"/>
  <c r="DP102" i="1" s="1"/>
  <c r="DP101" i="1" s="1"/>
  <c r="DP100" i="1" s="1"/>
  <c r="DP99" i="1" s="1"/>
  <c r="DP98" i="1" s="1"/>
  <c r="DP97" i="1" s="1"/>
  <c r="DP96" i="1" s="1"/>
  <c r="DP95" i="1" s="1"/>
  <c r="DP94" i="1" s="1"/>
  <c r="DP93" i="1" s="1"/>
  <c r="DP92" i="1" s="1"/>
  <c r="DP91" i="1" s="1"/>
  <c r="DP90" i="1" s="1"/>
  <c r="DP89" i="1" s="1"/>
  <c r="DP88" i="1" s="1"/>
  <c r="DP87" i="1" s="1"/>
  <c r="DP86" i="1" s="1"/>
  <c r="DP85" i="1" s="1"/>
  <c r="DP84" i="1" s="1"/>
  <c r="DP83" i="1" s="1"/>
  <c r="DP82" i="1" s="1"/>
  <c r="DP81" i="1" s="1"/>
  <c r="R67" i="1"/>
  <c r="AY89" i="1"/>
  <c r="Q54" i="1"/>
  <c r="AU81" i="1"/>
  <c r="M46" i="1"/>
  <c r="AY86" i="1"/>
  <c r="Q51" i="1"/>
  <c r="AU91" i="1"/>
  <c r="M56" i="1"/>
  <c r="AZ75" i="1"/>
  <c r="R40" i="1"/>
  <c r="AW97" i="1"/>
  <c r="O62" i="1"/>
  <c r="AW84" i="1"/>
  <c r="O49" i="1"/>
  <c r="AY90" i="1"/>
  <c r="Q55" i="1"/>
  <c r="AW83" i="1"/>
  <c r="O48" i="1"/>
  <c r="AX87" i="1"/>
  <c r="P52" i="1"/>
  <c r="AX93" i="1"/>
  <c r="P58" i="1"/>
  <c r="AY74" i="1"/>
  <c r="Q39" i="1"/>
  <c r="AY79" i="1"/>
  <c r="Q44" i="1"/>
  <c r="AY82" i="1"/>
  <c r="Q47" i="1"/>
  <c r="AY104" i="1"/>
  <c r="Q69" i="1"/>
  <c r="AX94" i="1"/>
  <c r="P59" i="1"/>
  <c r="DP80" i="1" l="1"/>
  <c r="DP79" i="1" s="1"/>
  <c r="DP78" i="1" s="1"/>
  <c r="DP77" i="1" s="1"/>
  <c r="DP76" i="1" s="1"/>
  <c r="DP75" i="1" s="1"/>
  <c r="DP74" i="1" s="1"/>
  <c r="T74" i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AT91" i="1"/>
  <c r="L56" i="1"/>
  <c r="AY102" i="1"/>
  <c r="DO102" i="1" s="1"/>
  <c r="DO101" i="1" s="1"/>
  <c r="DO100" i="1" s="1"/>
  <c r="DO99" i="1" s="1"/>
  <c r="DO98" i="1" s="1"/>
  <c r="DO97" i="1" s="1"/>
  <c r="DO96" i="1" s="1"/>
  <c r="DO95" i="1" s="1"/>
  <c r="DO94" i="1" s="1"/>
  <c r="DO93" i="1" s="1"/>
  <c r="DO92" i="1" s="1"/>
  <c r="DO91" i="1" s="1"/>
  <c r="DO90" i="1" s="1"/>
  <c r="DO89" i="1" s="1"/>
  <c r="DO88" i="1" s="1"/>
  <c r="DO87" i="1" s="1"/>
  <c r="DO86" i="1" s="1"/>
  <c r="DO85" i="1" s="1"/>
  <c r="DO84" i="1" s="1"/>
  <c r="DO83" i="1" s="1"/>
  <c r="DO82" i="1" s="1"/>
  <c r="DO81" i="1" s="1"/>
  <c r="Q67" i="1"/>
  <c r="AX100" i="1"/>
  <c r="P65" i="1"/>
  <c r="AW77" i="1"/>
  <c r="O42" i="1"/>
  <c r="AW101" i="1"/>
  <c r="O66" i="1"/>
  <c r="AV84" i="1"/>
  <c r="N49" i="1"/>
  <c r="AX86" i="1"/>
  <c r="P51" i="1"/>
  <c r="AX103" i="1"/>
  <c r="DN103" i="1" s="1"/>
  <c r="P68" i="1"/>
  <c r="AY80" i="1"/>
  <c r="Q45" i="1"/>
  <c r="AT88" i="1"/>
  <c r="L53" i="1"/>
  <c r="AU92" i="1"/>
  <c r="M57" i="1"/>
  <c r="AX104" i="1"/>
  <c r="P69" i="1"/>
  <c r="AX82" i="1"/>
  <c r="P47" i="1"/>
  <c r="AW87" i="1"/>
  <c r="O52" i="1"/>
  <c r="AV97" i="1"/>
  <c r="N62" i="1"/>
  <c r="AT81" i="1"/>
  <c r="L46" i="1"/>
  <c r="AV96" i="1"/>
  <c r="N61" i="1"/>
  <c r="AW78" i="1"/>
  <c r="O43" i="1"/>
  <c r="AW99" i="1"/>
  <c r="O64" i="1"/>
  <c r="AW85" i="1"/>
  <c r="O50" i="1"/>
  <c r="AW93" i="1"/>
  <c r="O58" i="1"/>
  <c r="AX79" i="1"/>
  <c r="P44" i="1"/>
  <c r="AV83" i="1"/>
  <c r="N48" i="1"/>
  <c r="AY75" i="1"/>
  <c r="Q40" i="1"/>
  <c r="AX89" i="1"/>
  <c r="P54" i="1"/>
  <c r="AX76" i="1"/>
  <c r="P41" i="1"/>
  <c r="AW95" i="1"/>
  <c r="O60" i="1"/>
  <c r="AV98" i="1"/>
  <c r="N63" i="1"/>
  <c r="AW94" i="1"/>
  <c r="O59" i="1"/>
  <c r="AX74" i="1"/>
  <c r="P39" i="1"/>
  <c r="AX90" i="1"/>
  <c r="P55" i="1"/>
  <c r="S74" i="1" l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DO80" i="1"/>
  <c r="DO79" i="1" s="1"/>
  <c r="DO78" i="1" s="1"/>
  <c r="DO77" i="1" s="1"/>
  <c r="DO76" i="1" s="1"/>
  <c r="DO75" i="1" s="1"/>
  <c r="DO74" i="1" s="1"/>
  <c r="AT92" i="1"/>
  <c r="L57" i="1"/>
  <c r="AW86" i="1"/>
  <c r="O51" i="1"/>
  <c r="AW100" i="1"/>
  <c r="O65" i="1"/>
  <c r="AV87" i="1"/>
  <c r="N52" i="1"/>
  <c r="AS88" i="1"/>
  <c r="K53" i="1"/>
  <c r="AU84" i="1"/>
  <c r="M49" i="1"/>
  <c r="AX102" i="1"/>
  <c r="DN102" i="1" s="1"/>
  <c r="DN101" i="1" s="1"/>
  <c r="DN100" i="1" s="1"/>
  <c r="DN99" i="1" s="1"/>
  <c r="DN98" i="1" s="1"/>
  <c r="DN97" i="1" s="1"/>
  <c r="DN96" i="1" s="1"/>
  <c r="DN95" i="1" s="1"/>
  <c r="DN94" i="1" s="1"/>
  <c r="DN93" i="1" s="1"/>
  <c r="DN92" i="1" s="1"/>
  <c r="DN91" i="1" s="1"/>
  <c r="DN90" i="1" s="1"/>
  <c r="DN89" i="1" s="1"/>
  <c r="DN88" i="1" s="1"/>
  <c r="DN87" i="1" s="1"/>
  <c r="DN86" i="1" s="1"/>
  <c r="DN85" i="1" s="1"/>
  <c r="DN84" i="1" s="1"/>
  <c r="DN83" i="1" s="1"/>
  <c r="DN82" i="1" s="1"/>
  <c r="DN81" i="1" s="1"/>
  <c r="P67" i="1"/>
  <c r="AW79" i="1"/>
  <c r="O44" i="1"/>
  <c r="AV94" i="1"/>
  <c r="N59" i="1"/>
  <c r="AW89" i="1"/>
  <c r="O54" i="1"/>
  <c r="AV93" i="1"/>
  <c r="N58" i="1"/>
  <c r="AU96" i="1"/>
  <c r="M61" i="1"/>
  <c r="AW74" i="1"/>
  <c r="O39" i="1"/>
  <c r="AV78" i="1"/>
  <c r="N43" i="1"/>
  <c r="AW82" i="1"/>
  <c r="O47" i="1"/>
  <c r="AX80" i="1"/>
  <c r="P45" i="1"/>
  <c r="AV101" i="1"/>
  <c r="N66" i="1"/>
  <c r="AS91" i="1"/>
  <c r="K56" i="1"/>
  <c r="AW76" i="1"/>
  <c r="O41" i="1"/>
  <c r="AU98" i="1"/>
  <c r="M63" i="1"/>
  <c r="AX75" i="1"/>
  <c r="P40" i="1"/>
  <c r="AV85" i="1"/>
  <c r="N50" i="1"/>
  <c r="AS81" i="1"/>
  <c r="K46" i="1"/>
  <c r="AW104" i="1"/>
  <c r="O69" i="1"/>
  <c r="AW103" i="1"/>
  <c r="DM103" i="1" s="1"/>
  <c r="O68" i="1"/>
  <c r="AV77" i="1"/>
  <c r="N42" i="1"/>
  <c r="AW90" i="1"/>
  <c r="O55" i="1"/>
  <c r="AV95" i="1"/>
  <c r="N60" i="1"/>
  <c r="AU83" i="1"/>
  <c r="M48" i="1"/>
  <c r="AV99" i="1"/>
  <c r="N64" i="1"/>
  <c r="AU97" i="1"/>
  <c r="M62" i="1"/>
  <c r="DN80" i="1" l="1"/>
  <c r="DN79" i="1" s="1"/>
  <c r="DN78" i="1" s="1"/>
  <c r="DN77" i="1" s="1"/>
  <c r="DN76" i="1" s="1"/>
  <c r="DN75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Q104" i="1" s="1"/>
  <c r="R74" i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AT97" i="1"/>
  <c r="L62" i="1"/>
  <c r="AV82" i="1"/>
  <c r="N47" i="1"/>
  <c r="AU93" i="1"/>
  <c r="M58" i="1"/>
  <c r="AW102" i="1"/>
  <c r="DM102" i="1" s="1"/>
  <c r="DM101" i="1" s="1"/>
  <c r="DM100" i="1" s="1"/>
  <c r="DM99" i="1" s="1"/>
  <c r="DM98" i="1" s="1"/>
  <c r="DM97" i="1" s="1"/>
  <c r="DM96" i="1" s="1"/>
  <c r="DM95" i="1" s="1"/>
  <c r="DM94" i="1" s="1"/>
  <c r="DM93" i="1" s="1"/>
  <c r="DM92" i="1" s="1"/>
  <c r="DM91" i="1" s="1"/>
  <c r="DM90" i="1" s="1"/>
  <c r="DM89" i="1" s="1"/>
  <c r="DM88" i="1" s="1"/>
  <c r="DM87" i="1" s="1"/>
  <c r="DM86" i="1" s="1"/>
  <c r="DM85" i="1" s="1"/>
  <c r="DM84" i="1" s="1"/>
  <c r="DM83" i="1" s="1"/>
  <c r="DM82" i="1" s="1"/>
  <c r="DM81" i="1" s="1"/>
  <c r="O67" i="1"/>
  <c r="AU85" i="1"/>
  <c r="M50" i="1"/>
  <c r="AV89" i="1"/>
  <c r="N54" i="1"/>
  <c r="AT84" i="1"/>
  <c r="L49" i="1"/>
  <c r="AV100" i="1"/>
  <c r="N65" i="1"/>
  <c r="AV76" i="1"/>
  <c r="N41" i="1"/>
  <c r="AU78" i="1"/>
  <c r="M43" i="1"/>
  <c r="AU99" i="1"/>
  <c r="M64" i="1"/>
  <c r="AT83" i="1"/>
  <c r="L48" i="1"/>
  <c r="AW75" i="1"/>
  <c r="O40" i="1"/>
  <c r="AU101" i="1"/>
  <c r="M66" i="1"/>
  <c r="AV74" i="1"/>
  <c r="N39" i="1"/>
  <c r="AU94" i="1"/>
  <c r="M59" i="1"/>
  <c r="AR88" i="1"/>
  <c r="J53" i="1"/>
  <c r="AV86" i="1"/>
  <c r="N51" i="1"/>
  <c r="AV90" i="1"/>
  <c r="N55" i="1"/>
  <c r="AU77" i="1"/>
  <c r="M42" i="1"/>
  <c r="AR81" i="1"/>
  <c r="J46" i="1"/>
  <c r="AU95" i="1"/>
  <c r="M60" i="1"/>
  <c r="AV104" i="1"/>
  <c r="N69" i="1"/>
  <c r="AT98" i="1"/>
  <c r="L63" i="1"/>
  <c r="AW80" i="1"/>
  <c r="O45" i="1"/>
  <c r="AT96" i="1"/>
  <c r="L61" i="1"/>
  <c r="AV79" i="1"/>
  <c r="N44" i="1"/>
  <c r="AU87" i="1"/>
  <c r="M52" i="1"/>
  <c r="AS92" i="1"/>
  <c r="K57" i="1"/>
  <c r="AR91" i="1"/>
  <c r="J56" i="1"/>
  <c r="AV103" i="1"/>
  <c r="DL103" i="1" s="1"/>
  <c r="N68" i="1"/>
  <c r="DM80" i="1" l="1"/>
  <c r="DM79" i="1" s="1"/>
  <c r="DM78" i="1" s="1"/>
  <c r="DM77" i="1" s="1"/>
  <c r="DM76" i="1" s="1"/>
  <c r="DM75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DN74" i="1"/>
  <c r="AU104" i="1"/>
  <c r="M69" i="1"/>
  <c r="AU90" i="1"/>
  <c r="M55" i="1"/>
  <c r="AU74" i="1"/>
  <c r="M39" i="1"/>
  <c r="AT99" i="1"/>
  <c r="L64" i="1"/>
  <c r="AS84" i="1"/>
  <c r="K49" i="1"/>
  <c r="AT93" i="1"/>
  <c r="L58" i="1"/>
  <c r="AU103" i="1"/>
  <c r="DK103" i="1" s="1"/>
  <c r="M68" i="1"/>
  <c r="AQ91" i="1"/>
  <c r="I56" i="1"/>
  <c r="AU86" i="1"/>
  <c r="M51" i="1"/>
  <c r="AT101" i="1"/>
  <c r="L66" i="1"/>
  <c r="AT78" i="1"/>
  <c r="L43" i="1"/>
  <c r="AU89" i="1"/>
  <c r="M54" i="1"/>
  <c r="AU82" i="1"/>
  <c r="M47" i="1"/>
  <c r="AT95" i="1"/>
  <c r="L60" i="1"/>
  <c r="AR92" i="1"/>
  <c r="J57" i="1"/>
  <c r="AV80" i="1"/>
  <c r="N45" i="1"/>
  <c r="AQ81" i="1"/>
  <c r="I46" i="1"/>
  <c r="AQ88" i="1"/>
  <c r="I53" i="1"/>
  <c r="AV75" i="1"/>
  <c r="N40" i="1"/>
  <c r="AU76" i="1"/>
  <c r="M41" i="1"/>
  <c r="AT85" i="1"/>
  <c r="L50" i="1"/>
  <c r="AS97" i="1"/>
  <c r="K62" i="1"/>
  <c r="AT87" i="1"/>
  <c r="L52" i="1"/>
  <c r="AU79" i="1"/>
  <c r="M44" i="1"/>
  <c r="AS96" i="1"/>
  <c r="K61" i="1"/>
  <c r="AS98" i="1"/>
  <c r="K63" i="1"/>
  <c r="AT77" i="1"/>
  <c r="L42" i="1"/>
  <c r="AT94" i="1"/>
  <c r="L59" i="1"/>
  <c r="AS83" i="1"/>
  <c r="K48" i="1"/>
  <c r="AU100" i="1"/>
  <c r="M65" i="1"/>
  <c r="AV102" i="1"/>
  <c r="DL102" i="1" s="1"/>
  <c r="DL101" i="1" s="1"/>
  <c r="DL100" i="1" s="1"/>
  <c r="DL99" i="1" s="1"/>
  <c r="DL98" i="1" s="1"/>
  <c r="DL97" i="1" s="1"/>
  <c r="DL96" i="1" s="1"/>
  <c r="DL95" i="1" s="1"/>
  <c r="DL94" i="1" s="1"/>
  <c r="DL93" i="1" s="1"/>
  <c r="DL92" i="1" s="1"/>
  <c r="DL91" i="1" s="1"/>
  <c r="DL90" i="1" s="1"/>
  <c r="DL89" i="1" s="1"/>
  <c r="DL88" i="1" s="1"/>
  <c r="DL87" i="1" s="1"/>
  <c r="DL86" i="1" s="1"/>
  <c r="DL85" i="1" s="1"/>
  <c r="DL84" i="1" s="1"/>
  <c r="DL83" i="1" s="1"/>
  <c r="DL82" i="1" s="1"/>
  <c r="DL81" i="1" s="1"/>
  <c r="N67" i="1"/>
  <c r="DL80" i="1" l="1"/>
  <c r="DL79" i="1" s="1"/>
  <c r="DL78" i="1" s="1"/>
  <c r="DL77" i="1" s="1"/>
  <c r="DL76" i="1" s="1"/>
  <c r="DL75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DM74" i="1"/>
  <c r="AS87" i="1"/>
  <c r="K52" i="1"/>
  <c r="AT103" i="1"/>
  <c r="DJ103" i="1" s="1"/>
  <c r="L68" i="1"/>
  <c r="AT74" i="1"/>
  <c r="L39" i="1"/>
  <c r="AS77" i="1"/>
  <c r="K42" i="1"/>
  <c r="AS95" i="1"/>
  <c r="K60" i="1"/>
  <c r="AQ92" i="1"/>
  <c r="I57" i="1"/>
  <c r="AS93" i="1"/>
  <c r="K58" i="1"/>
  <c r="AT90" i="1"/>
  <c r="L55" i="1"/>
  <c r="AR98" i="1"/>
  <c r="J63" i="1"/>
  <c r="AR83" i="1"/>
  <c r="J48" i="1"/>
  <c r="AR96" i="1"/>
  <c r="J61" i="1"/>
  <c r="AS85" i="1"/>
  <c r="K50" i="1"/>
  <c r="AP81" i="1"/>
  <c r="H46" i="1"/>
  <c r="AO81" i="1" s="1"/>
  <c r="AT82" i="1"/>
  <c r="L47" i="1"/>
  <c r="AT86" i="1"/>
  <c r="L51" i="1"/>
  <c r="AT100" i="1"/>
  <c r="L65" i="1"/>
  <c r="AS101" i="1"/>
  <c r="K66" i="1"/>
  <c r="AR84" i="1"/>
  <c r="J49" i="1"/>
  <c r="AT104" i="1"/>
  <c r="L69" i="1"/>
  <c r="AU102" i="1"/>
  <c r="DK102" i="1" s="1"/>
  <c r="DK101" i="1" s="1"/>
  <c r="DK100" i="1" s="1"/>
  <c r="DK99" i="1" s="1"/>
  <c r="DK98" i="1" s="1"/>
  <c r="DK97" i="1" s="1"/>
  <c r="DK96" i="1" s="1"/>
  <c r="DK95" i="1" s="1"/>
  <c r="DK94" i="1" s="1"/>
  <c r="DK93" i="1" s="1"/>
  <c r="DK92" i="1" s="1"/>
  <c r="DK91" i="1" s="1"/>
  <c r="DK90" i="1" s="1"/>
  <c r="DK89" i="1" s="1"/>
  <c r="DK88" i="1" s="1"/>
  <c r="DK87" i="1" s="1"/>
  <c r="DK86" i="1" s="1"/>
  <c r="DK85" i="1" s="1"/>
  <c r="DK84" i="1" s="1"/>
  <c r="DK83" i="1" s="1"/>
  <c r="DK82" i="1" s="1"/>
  <c r="DK81" i="1" s="1"/>
  <c r="M67" i="1"/>
  <c r="AR97" i="1"/>
  <c r="J62" i="1"/>
  <c r="AS94" i="1"/>
  <c r="K59" i="1"/>
  <c r="AT76" i="1"/>
  <c r="L41" i="1"/>
  <c r="AU80" i="1"/>
  <c r="M45" i="1"/>
  <c r="AT89" i="1"/>
  <c r="L54" i="1"/>
  <c r="AS78" i="1"/>
  <c r="K43" i="1"/>
  <c r="AP88" i="1"/>
  <c r="H53" i="1"/>
  <c r="AO88" i="1" s="1"/>
  <c r="AT79" i="1"/>
  <c r="L44" i="1"/>
  <c r="AP91" i="1"/>
  <c r="H56" i="1"/>
  <c r="AO91" i="1" s="1"/>
  <c r="AS99" i="1"/>
  <c r="K64" i="1"/>
  <c r="AU75" i="1"/>
  <c r="M40" i="1"/>
  <c r="DL74" i="1" l="1"/>
  <c r="DK80" i="1"/>
  <c r="DK79" i="1" s="1"/>
  <c r="DK78" i="1" s="1"/>
  <c r="DK77" i="1" s="1"/>
  <c r="DK76" i="1" s="1"/>
  <c r="DK75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N104" i="1" s="1"/>
  <c r="AS74" i="1"/>
  <c r="K39" i="1"/>
  <c r="AR99" i="1"/>
  <c r="J64" i="1"/>
  <c r="AR78" i="1"/>
  <c r="J43" i="1"/>
  <c r="AR94" i="1"/>
  <c r="J59" i="1"/>
  <c r="AQ84" i="1"/>
  <c r="I49" i="1"/>
  <c r="AS82" i="1"/>
  <c r="K47" i="1"/>
  <c r="AQ83" i="1"/>
  <c r="I48" i="1"/>
  <c r="AP92" i="1"/>
  <c r="H57" i="1"/>
  <c r="AO92" i="1" s="1"/>
  <c r="AS103" i="1"/>
  <c r="DI103" i="1" s="1"/>
  <c r="K68" i="1"/>
  <c r="AS89" i="1"/>
  <c r="K54" i="1"/>
  <c r="AQ97" i="1"/>
  <c r="I62" i="1"/>
  <c r="AR101" i="1"/>
  <c r="J66" i="1"/>
  <c r="AQ98" i="1"/>
  <c r="I63" i="1"/>
  <c r="AR95" i="1"/>
  <c r="J60" i="1"/>
  <c r="AR87" i="1"/>
  <c r="J52" i="1"/>
  <c r="AS76" i="1"/>
  <c r="K41" i="1"/>
  <c r="AS79" i="1"/>
  <c r="K44" i="1"/>
  <c r="AT80" i="1"/>
  <c r="L45" i="1"/>
  <c r="AT102" i="1"/>
  <c r="DJ102" i="1" s="1"/>
  <c r="DJ101" i="1" s="1"/>
  <c r="DJ100" i="1" s="1"/>
  <c r="DJ99" i="1" s="1"/>
  <c r="DJ98" i="1" s="1"/>
  <c r="DJ97" i="1" s="1"/>
  <c r="DJ96" i="1" s="1"/>
  <c r="DJ95" i="1" s="1"/>
  <c r="DJ94" i="1" s="1"/>
  <c r="DJ93" i="1" s="1"/>
  <c r="DJ92" i="1" s="1"/>
  <c r="DJ91" i="1" s="1"/>
  <c r="DJ90" i="1" s="1"/>
  <c r="DJ89" i="1" s="1"/>
  <c r="DJ88" i="1" s="1"/>
  <c r="DJ87" i="1" s="1"/>
  <c r="DJ86" i="1" s="1"/>
  <c r="DJ85" i="1" s="1"/>
  <c r="DJ84" i="1" s="1"/>
  <c r="DJ83" i="1" s="1"/>
  <c r="DJ82" i="1" s="1"/>
  <c r="DJ81" i="1" s="1"/>
  <c r="L67" i="1"/>
  <c r="AS100" i="1"/>
  <c r="K65" i="1"/>
  <c r="AR85" i="1"/>
  <c r="J50" i="1"/>
  <c r="AS90" i="1"/>
  <c r="K55" i="1"/>
  <c r="AR77" i="1"/>
  <c r="J42" i="1"/>
  <c r="AT75" i="1"/>
  <c r="L40" i="1"/>
  <c r="AS104" i="1"/>
  <c r="K69" i="1"/>
  <c r="AS86" i="1"/>
  <c r="K51" i="1"/>
  <c r="AQ96" i="1"/>
  <c r="I61" i="1"/>
  <c r="AR93" i="1"/>
  <c r="J58" i="1"/>
  <c r="DJ80" i="1" l="1"/>
  <c r="DJ79" i="1" s="1"/>
  <c r="DJ78" i="1" s="1"/>
  <c r="DJ77" i="1" s="1"/>
  <c r="DJ76" i="1" s="1"/>
  <c r="DJ75" i="1" s="1"/>
  <c r="DJ74" i="1" s="1"/>
  <c r="DK74" i="1"/>
  <c r="AR90" i="1"/>
  <c r="J55" i="1"/>
  <c r="AQ95" i="1"/>
  <c r="I60" i="1"/>
  <c r="AR89" i="1"/>
  <c r="J54" i="1"/>
  <c r="AS80" i="1"/>
  <c r="K45" i="1"/>
  <c r="AQ85" i="1"/>
  <c r="I50" i="1"/>
  <c r="AR86" i="1"/>
  <c r="J51" i="1"/>
  <c r="AP83" i="1"/>
  <c r="H48" i="1"/>
  <c r="AO83" i="1" s="1"/>
  <c r="AR82" i="1"/>
  <c r="J47" i="1"/>
  <c r="AQ99" i="1"/>
  <c r="I64" i="1"/>
  <c r="AR104" i="1"/>
  <c r="J69" i="1"/>
  <c r="AP98" i="1"/>
  <c r="H63" i="1"/>
  <c r="AO98" i="1" s="1"/>
  <c r="AR76" i="1"/>
  <c r="J41" i="1"/>
  <c r="AQ94" i="1"/>
  <c r="I59" i="1"/>
  <c r="AQ78" i="1"/>
  <c r="I43" i="1"/>
  <c r="AR79" i="1"/>
  <c r="J44" i="1"/>
  <c r="AQ93" i="1"/>
  <c r="I58" i="1"/>
  <c r="AS75" i="1"/>
  <c r="K40" i="1"/>
  <c r="AR100" i="1"/>
  <c r="J65" i="1"/>
  <c r="AQ101" i="1"/>
  <c r="I66" i="1"/>
  <c r="AR103" i="1"/>
  <c r="DH103" i="1" s="1"/>
  <c r="J68" i="1"/>
  <c r="AP84" i="1"/>
  <c r="H49" i="1"/>
  <c r="AO84" i="1" s="1"/>
  <c r="AR74" i="1"/>
  <c r="J39" i="1"/>
  <c r="AP96" i="1"/>
  <c r="H61" i="1"/>
  <c r="AO96" i="1" s="1"/>
  <c r="AQ77" i="1"/>
  <c r="I42" i="1"/>
  <c r="AS102" i="1"/>
  <c r="DI102" i="1" s="1"/>
  <c r="DI101" i="1" s="1"/>
  <c r="DI100" i="1" s="1"/>
  <c r="DI99" i="1" s="1"/>
  <c r="DI98" i="1" s="1"/>
  <c r="DI97" i="1" s="1"/>
  <c r="DI96" i="1" s="1"/>
  <c r="DI95" i="1" s="1"/>
  <c r="DI94" i="1" s="1"/>
  <c r="DI93" i="1" s="1"/>
  <c r="DI92" i="1" s="1"/>
  <c r="DI91" i="1" s="1"/>
  <c r="DI90" i="1" s="1"/>
  <c r="DI89" i="1" s="1"/>
  <c r="DI88" i="1" s="1"/>
  <c r="DI87" i="1" s="1"/>
  <c r="DI86" i="1" s="1"/>
  <c r="DI85" i="1" s="1"/>
  <c r="DI84" i="1" s="1"/>
  <c r="DI83" i="1" s="1"/>
  <c r="DI82" i="1" s="1"/>
  <c r="DI81" i="1" s="1"/>
  <c r="K67" i="1"/>
  <c r="AQ87" i="1"/>
  <c r="I52" i="1"/>
  <c r="AP97" i="1"/>
  <c r="H62" i="1"/>
  <c r="AO97" i="1" s="1"/>
  <c r="DI80" i="1" l="1"/>
  <c r="DI79" i="1" s="1"/>
  <c r="DI78" i="1" s="1"/>
  <c r="DI77" i="1" s="1"/>
  <c r="DI76" i="1" s="1"/>
  <c r="DI75" i="1" s="1"/>
  <c r="DI74" i="1" s="1"/>
  <c r="M74" i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M104" i="1" s="1"/>
  <c r="AQ79" i="1"/>
  <c r="I44" i="1"/>
  <c r="AQ89" i="1"/>
  <c r="I54" i="1"/>
  <c r="AP77" i="1"/>
  <c r="H42" i="1"/>
  <c r="AO77" i="1" s="1"/>
  <c r="AP101" i="1"/>
  <c r="H66" i="1"/>
  <c r="AO101" i="1" s="1"/>
  <c r="AP78" i="1"/>
  <c r="H43" i="1"/>
  <c r="AO78" i="1" s="1"/>
  <c r="AQ104" i="1"/>
  <c r="I69" i="1"/>
  <c r="AQ86" i="1"/>
  <c r="I51" i="1"/>
  <c r="AP95" i="1"/>
  <c r="H60" i="1"/>
  <c r="AO95" i="1" s="1"/>
  <c r="AQ74" i="1"/>
  <c r="I39" i="1"/>
  <c r="AP87" i="1"/>
  <c r="H52" i="1"/>
  <c r="AO87" i="1" s="1"/>
  <c r="AR75" i="1"/>
  <c r="J40" i="1"/>
  <c r="AP94" i="1"/>
  <c r="H59" i="1"/>
  <c r="AO94" i="1" s="1"/>
  <c r="AP99" i="1"/>
  <c r="H64" i="1"/>
  <c r="AO99" i="1" s="1"/>
  <c r="AP85" i="1"/>
  <c r="H50" i="1"/>
  <c r="AO85" i="1" s="1"/>
  <c r="AQ90" i="1"/>
  <c r="I55" i="1"/>
  <c r="AP93" i="1"/>
  <c r="H58" i="1"/>
  <c r="AO93" i="1" s="1"/>
  <c r="AQ100" i="1"/>
  <c r="I65" i="1"/>
  <c r="AR102" i="1"/>
  <c r="DH102" i="1" s="1"/>
  <c r="DH101" i="1" s="1"/>
  <c r="DH100" i="1" s="1"/>
  <c r="DH99" i="1" s="1"/>
  <c r="DH98" i="1" s="1"/>
  <c r="DH97" i="1" s="1"/>
  <c r="DH96" i="1" s="1"/>
  <c r="DH95" i="1" s="1"/>
  <c r="DH94" i="1" s="1"/>
  <c r="DH93" i="1" s="1"/>
  <c r="DH92" i="1" s="1"/>
  <c r="DH91" i="1" s="1"/>
  <c r="DH90" i="1" s="1"/>
  <c r="DH89" i="1" s="1"/>
  <c r="DH88" i="1" s="1"/>
  <c r="DH87" i="1" s="1"/>
  <c r="DH86" i="1" s="1"/>
  <c r="DH85" i="1" s="1"/>
  <c r="DH84" i="1" s="1"/>
  <c r="DH83" i="1" s="1"/>
  <c r="DH82" i="1" s="1"/>
  <c r="DH81" i="1" s="1"/>
  <c r="J67" i="1"/>
  <c r="AQ103" i="1"/>
  <c r="DG103" i="1" s="1"/>
  <c r="I68" i="1"/>
  <c r="AQ76" i="1"/>
  <c r="I41" i="1"/>
  <c r="AQ82" i="1"/>
  <c r="I47" i="1"/>
  <c r="AR80" i="1"/>
  <c r="J45" i="1"/>
  <c r="L74" i="1" l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DH80" i="1"/>
  <c r="DH79" i="1" s="1"/>
  <c r="DH78" i="1" s="1"/>
  <c r="DH77" i="1" s="1"/>
  <c r="DH76" i="1" s="1"/>
  <c r="DH75" i="1" s="1"/>
  <c r="DH74" i="1" s="1"/>
  <c r="AQ102" i="1"/>
  <c r="DG102" i="1" s="1"/>
  <c r="DG101" i="1" s="1"/>
  <c r="DG100" i="1" s="1"/>
  <c r="DG99" i="1" s="1"/>
  <c r="DG98" i="1" s="1"/>
  <c r="DG97" i="1" s="1"/>
  <c r="DG96" i="1" s="1"/>
  <c r="DG95" i="1" s="1"/>
  <c r="DG94" i="1" s="1"/>
  <c r="DG93" i="1" s="1"/>
  <c r="DG92" i="1" s="1"/>
  <c r="DG91" i="1" s="1"/>
  <c r="DG90" i="1" s="1"/>
  <c r="DG89" i="1" s="1"/>
  <c r="DG88" i="1" s="1"/>
  <c r="DG87" i="1" s="1"/>
  <c r="DG86" i="1" s="1"/>
  <c r="DG85" i="1" s="1"/>
  <c r="DG84" i="1" s="1"/>
  <c r="DG83" i="1" s="1"/>
  <c r="DG82" i="1" s="1"/>
  <c r="DG81" i="1" s="1"/>
  <c r="I67" i="1"/>
  <c r="AP86" i="1"/>
  <c r="H51" i="1"/>
  <c r="AO86" i="1" s="1"/>
  <c r="AP90" i="1"/>
  <c r="H55" i="1"/>
  <c r="AO90" i="1" s="1"/>
  <c r="AP104" i="1"/>
  <c r="H69" i="1"/>
  <c r="AO104" i="1" s="1"/>
  <c r="AP89" i="1"/>
  <c r="H54" i="1"/>
  <c r="AO89" i="1" s="1"/>
  <c r="AQ75" i="1"/>
  <c r="I40" i="1"/>
  <c r="AP82" i="1"/>
  <c r="H47" i="1"/>
  <c r="AO82" i="1" s="1"/>
  <c r="AP103" i="1"/>
  <c r="DF103" i="1" s="1"/>
  <c r="H68" i="1"/>
  <c r="AO103" i="1" s="1"/>
  <c r="DE103" i="1" s="1"/>
  <c r="AP76" i="1"/>
  <c r="H41" i="1"/>
  <c r="AO76" i="1" s="1"/>
  <c r="AP74" i="1"/>
  <c r="H39" i="1"/>
  <c r="AO74" i="1" s="1"/>
  <c r="AP79" i="1"/>
  <c r="H44" i="1"/>
  <c r="AO79" i="1" s="1"/>
  <c r="AQ80" i="1"/>
  <c r="I45" i="1"/>
  <c r="AP100" i="1"/>
  <c r="H65" i="1"/>
  <c r="AO100" i="1" s="1"/>
  <c r="DG80" i="1" l="1"/>
  <c r="DG79" i="1" s="1"/>
  <c r="DG78" i="1" s="1"/>
  <c r="DG77" i="1" s="1"/>
  <c r="DG76" i="1" s="1"/>
  <c r="DG75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K74" i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AP75" i="1"/>
  <c r="H40" i="1"/>
  <c r="AO75" i="1" s="1"/>
  <c r="AP102" i="1"/>
  <c r="DF102" i="1" s="1"/>
  <c r="DF101" i="1" s="1"/>
  <c r="DF100" i="1" s="1"/>
  <c r="DF99" i="1" s="1"/>
  <c r="DF98" i="1" s="1"/>
  <c r="DF97" i="1" s="1"/>
  <c r="DF96" i="1" s="1"/>
  <c r="DF95" i="1" s="1"/>
  <c r="DF94" i="1" s="1"/>
  <c r="DF93" i="1" s="1"/>
  <c r="DF92" i="1" s="1"/>
  <c r="DF91" i="1" s="1"/>
  <c r="DF90" i="1" s="1"/>
  <c r="DF89" i="1" s="1"/>
  <c r="DF88" i="1" s="1"/>
  <c r="DF87" i="1" s="1"/>
  <c r="DF86" i="1" s="1"/>
  <c r="DF85" i="1" s="1"/>
  <c r="DF84" i="1" s="1"/>
  <c r="DF83" i="1" s="1"/>
  <c r="DF82" i="1" s="1"/>
  <c r="DF81" i="1" s="1"/>
  <c r="H67" i="1"/>
  <c r="AO102" i="1" s="1"/>
  <c r="DE102" i="1" s="1"/>
  <c r="DE101" i="1" s="1"/>
  <c r="DE100" i="1" s="1"/>
  <c r="DE99" i="1" s="1"/>
  <c r="DE98" i="1" s="1"/>
  <c r="DE97" i="1" s="1"/>
  <c r="DE96" i="1" s="1"/>
  <c r="DE95" i="1" s="1"/>
  <c r="DE94" i="1" s="1"/>
  <c r="DE93" i="1" s="1"/>
  <c r="DE92" i="1" s="1"/>
  <c r="DE91" i="1" s="1"/>
  <c r="DE90" i="1" s="1"/>
  <c r="DE89" i="1" s="1"/>
  <c r="DE88" i="1" s="1"/>
  <c r="DE87" i="1" s="1"/>
  <c r="DE86" i="1" s="1"/>
  <c r="DE85" i="1" s="1"/>
  <c r="DE84" i="1" s="1"/>
  <c r="DE83" i="1" s="1"/>
  <c r="DE82" i="1" s="1"/>
  <c r="DE81" i="1" s="1"/>
  <c r="AP80" i="1"/>
  <c r="H45" i="1"/>
  <c r="AO80" i="1" s="1"/>
  <c r="DE80" i="1" l="1"/>
  <c r="DE79" i="1" s="1"/>
  <c r="DE78" i="1" s="1"/>
  <c r="DE77" i="1" s="1"/>
  <c r="DE76" i="1" s="1"/>
  <c r="DE75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DF80" i="1"/>
  <c r="DF79" i="1" s="1"/>
  <c r="DF78" i="1" s="1"/>
  <c r="DF77" i="1" s="1"/>
  <c r="DF76" i="1" s="1"/>
  <c r="DF75" i="1" s="1"/>
  <c r="DF74" i="1" s="1"/>
  <c r="DG74" i="1"/>
  <c r="DE74" i="1" l="1"/>
  <c r="I74" i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</calcChain>
</file>

<file path=xl/sharedStrings.xml><?xml version="1.0" encoding="utf-8"?>
<sst xmlns="http://schemas.openxmlformats.org/spreadsheetml/2006/main" count="38" uniqueCount="30">
  <si>
    <t>Параметры расчетной области</t>
  </si>
  <si>
    <t>Точка</t>
  </si>
  <si>
    <t>Координата</t>
  </si>
  <si>
    <t>L</t>
  </si>
  <si>
    <t>H</t>
  </si>
  <si>
    <t>dx</t>
  </si>
  <si>
    <t>dy</t>
  </si>
  <si>
    <t>t</t>
  </si>
  <si>
    <t>dt</t>
  </si>
  <si>
    <t>Физические параметры</t>
  </si>
  <si>
    <t>Cp</t>
  </si>
  <si>
    <t>ro</t>
  </si>
  <si>
    <t>T_start</t>
  </si>
  <si>
    <t>T_end</t>
  </si>
  <si>
    <t>Fi</t>
  </si>
  <si>
    <t>n+1</t>
  </si>
  <si>
    <t>Fj</t>
  </si>
  <si>
    <t>αj</t>
  </si>
  <si>
    <t>βj</t>
  </si>
  <si>
    <t>Граничные условия</t>
  </si>
  <si>
    <t>Aх</t>
  </si>
  <si>
    <t>Вх</t>
  </si>
  <si>
    <t>Cх</t>
  </si>
  <si>
    <t>Aу</t>
  </si>
  <si>
    <t>Bу</t>
  </si>
  <si>
    <t>Cу</t>
  </si>
  <si>
    <t>λ</t>
  </si>
  <si>
    <t>n+0,5</t>
  </si>
  <si>
    <r>
      <rPr>
        <sz val="12"/>
        <color theme="1"/>
        <rFont val="Calibri"/>
        <family val="2"/>
        <charset val="204"/>
      </rPr>
      <t>α</t>
    </r>
    <r>
      <rPr>
        <sz val="12"/>
        <color theme="1"/>
        <rFont val="Calibri"/>
        <family val="2"/>
        <charset val="204"/>
        <scheme val="minor"/>
      </rPr>
      <t>i</t>
    </r>
  </si>
  <si>
    <r>
      <rPr>
        <sz val="12"/>
        <color theme="1"/>
        <rFont val="Calibri"/>
        <family val="2"/>
        <charset val="204"/>
      </rPr>
      <t>β</t>
    </r>
    <r>
      <rPr>
        <sz val="12"/>
        <color theme="1"/>
        <rFont val="Calibri"/>
        <family val="2"/>
        <charset val="204"/>
        <scheme val="minor"/>
      </rPr>
      <t>i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</si>
</sst>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4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Border="1"/>
    <xf numFmtId="0" fontId="0" fillId="0" borderId="2" xfId="0" applyBorder="1"/>
    <xf numFmtId="0" fontId="0" fillId="0" borderId="0" xfId="0" applyAlignment="1"/>
    <xf numFmtId="0" fontId="0" fillId="0" borderId="2" xfId="0" applyBorder="1" applyAlignment="1"/>
    <xf numFmtId="0" fontId="2" fillId="0" borderId="1" xfId="0" applyFont="1" applyBorder="1"/>
    <xf numFmtId="0" fontId="2" fillId="0" borderId="1" xfId="0" applyFont="1" applyBorder="1"/>
    <xf numFmtId="0" fontId="2" fillId="0" borderId="0" xfId="0" applyFont="1"/>
    <xf numFmtId="0" fontId="3" fillId="0" borderId="1" xfId="0" applyFont="1" applyBorder="1"/>
    <xf numFmtId="0" fontId="2" fillId="0" borderId="0" xfId="0" applyFont="1" applyAlignment="1">
      <alignment horizontal="center" vertical="center"/>
    </xf>
    <xf numFmtId="0" fontId="2" fillId="0" borderId="0" xfId="0" applyFont="1"/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/>
    <xf numFmtId="0" fontId="2" fillId="2" borderId="2" xfId="0" applyFont="1" applyFill="1" applyBorder="1"/>
    <xf numFmtId="0" fontId="2" fillId="2" borderId="1" xfId="0" applyFont="1" applyFill="1" applyBorder="1" applyAlignment="1">
      <alignment horizontal="left" vertical="center"/>
    </xf>
    <xf numFmtId="164" fontId="2" fillId="2" borderId="1" xfId="0" applyNumberFormat="1" applyFont="1" applyFill="1" applyBorder="1" applyAlignment="1">
      <alignment horizontal="center" vertical="center"/>
    </xf>
    <xf numFmtId="0" fontId="2" fillId="2" borderId="3" xfId="0" applyFont="1" applyFill="1" applyBorder="1"/>
    <xf numFmtId="0" fontId="2" fillId="0" borderId="1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0" borderId="0" xfId="0" applyFont="1" applyBorder="1"/>
    <xf numFmtId="0" fontId="2" fillId="2" borderId="6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6" xfId="0" applyFont="1" applyFill="1" applyBorder="1"/>
    <xf numFmtId="0" fontId="2" fillId="3" borderId="0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31</xdr:row>
          <xdr:rowOff>99060</xdr:rowOff>
        </xdr:from>
        <xdr:to>
          <xdr:col>2</xdr:col>
          <xdr:colOff>99060</xdr:colOff>
          <xdr:row>32</xdr:row>
          <xdr:rowOff>144781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29</xdr:row>
          <xdr:rowOff>121920</xdr:rowOff>
        </xdr:from>
        <xdr:to>
          <xdr:col>2</xdr:col>
          <xdr:colOff>76200</xdr:colOff>
          <xdr:row>30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EH159"/>
  <sheetViews>
    <sheetView tabSelected="1" zoomScale="70" zoomScaleNormal="70" workbookViewId="0">
      <selection activeCell="G1" sqref="G1"/>
    </sheetView>
  </sheetViews>
  <sheetFormatPr defaultRowHeight="14.4" x14ac:dyDescent="0.3"/>
  <cols>
    <col min="2" max="2" width="19.6640625" customWidth="1"/>
    <col min="5" max="5" width="7.5546875" customWidth="1"/>
    <col min="6" max="6" width="11.5546875" customWidth="1"/>
    <col min="7" max="39" width="9" bestFit="1" customWidth="1"/>
    <col min="40" max="70" width="11.6640625" bestFit="1" customWidth="1"/>
    <col min="73" max="104" width="9" bestFit="1" customWidth="1"/>
    <col min="107" max="138" width="9" bestFit="1" customWidth="1"/>
  </cols>
  <sheetData>
    <row r="1" spans="1:138" ht="15.6" x14ac:dyDescent="0.3">
      <c r="A1" s="5" t="s">
        <v>0</v>
      </c>
      <c r="B1" s="5"/>
      <c r="E1" s="11" t="s">
        <v>1</v>
      </c>
      <c r="F1" s="11"/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1">
        <v>25</v>
      </c>
      <c r="AF1" s="11">
        <v>26</v>
      </c>
      <c r="AG1" s="11">
        <v>27</v>
      </c>
      <c r="AH1" s="11">
        <v>28</v>
      </c>
      <c r="AI1" s="11">
        <v>29</v>
      </c>
      <c r="AJ1" s="11">
        <v>30</v>
      </c>
      <c r="AK1" s="11">
        <v>31</v>
      </c>
      <c r="AL1" s="12"/>
      <c r="AM1" s="13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</row>
    <row r="2" spans="1:138" ht="15.6" x14ac:dyDescent="0.3">
      <c r="A2" s="5"/>
      <c r="B2" s="5"/>
      <c r="E2" s="14"/>
      <c r="F2" s="14" t="s">
        <v>2</v>
      </c>
      <c r="G2" s="11">
        <v>0</v>
      </c>
      <c r="H2" s="15">
        <f>$B$5*(H1-1)</f>
        <v>3.3333333333333335E-3</v>
      </c>
      <c r="I2" s="15">
        <f t="shared" ref="I2:AK2" si="0">$B$5*(I1-1)</f>
        <v>6.6666666666666671E-3</v>
      </c>
      <c r="J2" s="15">
        <f t="shared" si="0"/>
        <v>0.01</v>
      </c>
      <c r="K2" s="15">
        <f t="shared" si="0"/>
        <v>1.3333333333333334E-2</v>
      </c>
      <c r="L2" s="15">
        <f t="shared" si="0"/>
        <v>1.6666666666666666E-2</v>
      </c>
      <c r="M2" s="15">
        <f t="shared" si="0"/>
        <v>0.02</v>
      </c>
      <c r="N2" s="15">
        <f t="shared" si="0"/>
        <v>2.3333333333333334E-2</v>
      </c>
      <c r="O2" s="15">
        <f t="shared" si="0"/>
        <v>2.6666666666666668E-2</v>
      </c>
      <c r="P2" s="15">
        <f t="shared" si="0"/>
        <v>3.0000000000000002E-2</v>
      </c>
      <c r="Q2" s="15">
        <f t="shared" si="0"/>
        <v>3.3333333333333333E-2</v>
      </c>
      <c r="R2" s="15">
        <f t="shared" si="0"/>
        <v>3.6666666666666667E-2</v>
      </c>
      <c r="S2" s="15">
        <f t="shared" si="0"/>
        <v>0.04</v>
      </c>
      <c r="T2" s="15">
        <f t="shared" si="0"/>
        <v>4.3333333333333335E-2</v>
      </c>
      <c r="U2" s="15">
        <f t="shared" si="0"/>
        <v>4.6666666666666669E-2</v>
      </c>
      <c r="V2" s="15">
        <f t="shared" si="0"/>
        <v>0.05</v>
      </c>
      <c r="W2" s="15">
        <f t="shared" si="0"/>
        <v>5.3333333333333337E-2</v>
      </c>
      <c r="X2" s="15">
        <f t="shared" si="0"/>
        <v>5.6666666666666671E-2</v>
      </c>
      <c r="Y2" s="15">
        <f t="shared" si="0"/>
        <v>6.0000000000000005E-2</v>
      </c>
      <c r="Z2" s="15">
        <f t="shared" si="0"/>
        <v>6.3333333333333339E-2</v>
      </c>
      <c r="AA2" s="15">
        <f t="shared" si="0"/>
        <v>6.6666666666666666E-2</v>
      </c>
      <c r="AB2" s="15">
        <f t="shared" si="0"/>
        <v>7.0000000000000007E-2</v>
      </c>
      <c r="AC2" s="15">
        <f t="shared" si="0"/>
        <v>7.3333333333333334E-2</v>
      </c>
      <c r="AD2" s="15">
        <f t="shared" si="0"/>
        <v>7.6666666666666675E-2</v>
      </c>
      <c r="AE2" s="15">
        <f t="shared" si="0"/>
        <v>0.08</v>
      </c>
      <c r="AF2" s="15">
        <f t="shared" si="0"/>
        <v>8.3333333333333343E-2</v>
      </c>
      <c r="AG2" s="15">
        <f t="shared" si="0"/>
        <v>8.666666666666667E-2</v>
      </c>
      <c r="AH2" s="15">
        <f t="shared" si="0"/>
        <v>9.0000000000000011E-2</v>
      </c>
      <c r="AI2" s="15">
        <f t="shared" si="0"/>
        <v>9.3333333333333338E-2</v>
      </c>
      <c r="AJ2" s="15">
        <f t="shared" si="0"/>
        <v>9.6666666666666679E-2</v>
      </c>
      <c r="AK2" s="15">
        <f t="shared" si="0"/>
        <v>0.1</v>
      </c>
      <c r="AL2" s="12"/>
      <c r="AM2" s="16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</row>
    <row r="3" spans="1:138" ht="15.6" x14ac:dyDescent="0.3">
      <c r="A3" s="6" t="s">
        <v>3</v>
      </c>
      <c r="B3" s="6">
        <v>0.1</v>
      </c>
      <c r="E3" s="11">
        <v>31</v>
      </c>
      <c r="F3" s="15">
        <f t="shared" ref="F3:F31" si="1">$B$6*(E3-1)</f>
        <v>0.1</v>
      </c>
      <c r="G3" s="17">
        <f>$B$16</f>
        <v>300</v>
      </c>
      <c r="H3" s="17">
        <v>293.33323759348332</v>
      </c>
      <c r="I3" s="17">
        <v>286.66647623591234</v>
      </c>
      <c r="J3" s="17">
        <v>279.99971696474057</v>
      </c>
      <c r="K3" s="17">
        <v>273.33296079456233</v>
      </c>
      <c r="L3" s="17">
        <v>266.66620870599684</v>
      </c>
      <c r="M3" s="17">
        <v>259.99946163494434</v>
      </c>
      <c r="N3" s="17">
        <v>253.33272046233208</v>
      </c>
      <c r="O3" s="17">
        <v>246.6659860044627</v>
      </c>
      <c r="P3" s="17">
        <v>239.99925900407092</v>
      </c>
      <c r="Q3" s="17">
        <v>233.33254012218558</v>
      </c>
      <c r="R3" s="17">
        <v>226.66582993088758</v>
      </c>
      <c r="S3" s="17">
        <v>219.99912890704184</v>
      </c>
      <c r="T3" s="17">
        <v>213.33243742707276</v>
      </c>
      <c r="U3" s="17">
        <v>206.66575576284029</v>
      </c>
      <c r="V3" s="17">
        <v>199.99908407866073</v>
      </c>
      <c r="W3" s="17">
        <v>193.33242242950701</v>
      </c>
      <c r="X3" s="17">
        <v>186.66577076040625</v>
      </c>
      <c r="Y3" s="17">
        <v>179.99912890704189</v>
      </c>
      <c r="Z3" s="17">
        <v>173.33249659755435</v>
      </c>
      <c r="AA3" s="17">
        <v>166.66587345551906</v>
      </c>
      <c r="AB3" s="17">
        <v>159.99925900407115</v>
      </c>
      <c r="AC3" s="17">
        <v>153.33265267112967</v>
      </c>
      <c r="AD3" s="17">
        <v>146.66605379566573</v>
      </c>
      <c r="AE3" s="17">
        <v>139.99946163494465</v>
      </c>
      <c r="AF3" s="17">
        <v>133.33287537266384</v>
      </c>
      <c r="AG3" s="17">
        <v>126.66629412789595</v>
      </c>
      <c r="AH3" s="17">
        <v>119.99971696474076</v>
      </c>
      <c r="AI3" s="17">
        <v>113.3331429025791</v>
      </c>
      <c r="AJ3" s="17">
        <v>106.66657092681665</v>
      </c>
      <c r="AK3" s="17">
        <f>$B$17</f>
        <v>100</v>
      </c>
      <c r="AL3" s="15">
        <f>$B$6*(AM3-1)</f>
        <v>0.1</v>
      </c>
      <c r="AM3" s="11">
        <v>31</v>
      </c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</row>
    <row r="4" spans="1:138" ht="15.6" x14ac:dyDescent="0.3">
      <c r="A4" s="6" t="s">
        <v>4</v>
      </c>
      <c r="B4" s="6">
        <v>0.1</v>
      </c>
      <c r="E4" s="11">
        <v>30</v>
      </c>
      <c r="F4" s="15">
        <f t="shared" si="1"/>
        <v>9.6666666666666679E-2</v>
      </c>
      <c r="G4" s="17">
        <f t="shared" ref="G4:G33" si="2">$B$16</f>
        <v>300</v>
      </c>
      <c r="H4" s="17">
        <v>293.33323759348332</v>
      </c>
      <c r="I4" s="17">
        <v>286.66647623591234</v>
      </c>
      <c r="J4" s="17">
        <v>279.99971696474057</v>
      </c>
      <c r="K4" s="17">
        <v>273.33296079456233</v>
      </c>
      <c r="L4" s="17">
        <v>266.66620870599684</v>
      </c>
      <c r="M4" s="17">
        <v>259.99946163494434</v>
      </c>
      <c r="N4" s="17">
        <v>253.33272046233208</v>
      </c>
      <c r="O4" s="17">
        <v>246.6659860044627</v>
      </c>
      <c r="P4" s="17">
        <v>239.99925900407092</v>
      </c>
      <c r="Q4" s="17">
        <v>233.33254012218558</v>
      </c>
      <c r="R4" s="17">
        <v>226.66582993088758</v>
      </c>
      <c r="S4" s="17">
        <v>219.99912890704184</v>
      </c>
      <c r="T4" s="17">
        <v>213.33243742707276</v>
      </c>
      <c r="U4" s="17">
        <v>206.66575576284029</v>
      </c>
      <c r="V4" s="17">
        <v>199.99908407866073</v>
      </c>
      <c r="W4" s="17">
        <v>193.33242242950701</v>
      </c>
      <c r="X4" s="17">
        <v>186.66577076040625</v>
      </c>
      <c r="Y4" s="17">
        <v>179.99912890704189</v>
      </c>
      <c r="Z4" s="17">
        <v>173.33249659755435</v>
      </c>
      <c r="AA4" s="17">
        <v>166.66587345551906</v>
      </c>
      <c r="AB4" s="17">
        <v>159.99925900407115</v>
      </c>
      <c r="AC4" s="17">
        <v>153.33265267112967</v>
      </c>
      <c r="AD4" s="17">
        <v>146.66605379566573</v>
      </c>
      <c r="AE4" s="17">
        <v>139.99946163494465</v>
      </c>
      <c r="AF4" s="17">
        <v>133.33287537266384</v>
      </c>
      <c r="AG4" s="17">
        <v>126.66629412789595</v>
      </c>
      <c r="AH4" s="17">
        <v>119.99971696474076</v>
      </c>
      <c r="AI4" s="17">
        <v>113.3331429025791</v>
      </c>
      <c r="AJ4" s="17">
        <v>106.66657092681665</v>
      </c>
      <c r="AK4" s="17">
        <f t="shared" ref="AK4:AK33" si="3">$B$17</f>
        <v>100</v>
      </c>
      <c r="AL4" s="15">
        <f t="shared" ref="AL4:AL33" si="4">$B$6*(AM4-1)</f>
        <v>9.6666666666666679E-2</v>
      </c>
      <c r="AM4" s="11">
        <v>30</v>
      </c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</row>
    <row r="5" spans="1:138" ht="15.6" x14ac:dyDescent="0.3">
      <c r="A5" s="6" t="s">
        <v>5</v>
      </c>
      <c r="B5" s="6">
        <f>B3/30</f>
        <v>3.3333333333333335E-3</v>
      </c>
      <c r="C5" s="3"/>
      <c r="D5" s="4"/>
      <c r="E5" s="11">
        <v>29</v>
      </c>
      <c r="F5" s="15">
        <f t="shared" si="1"/>
        <v>9.3333333333333338E-2</v>
      </c>
      <c r="G5" s="17">
        <f t="shared" si="2"/>
        <v>300</v>
      </c>
      <c r="H5" s="17">
        <v>293.33323759348332</v>
      </c>
      <c r="I5" s="17">
        <v>286.66647623591234</v>
      </c>
      <c r="J5" s="17">
        <v>279.99971696474051</v>
      </c>
      <c r="K5" s="17">
        <v>273.33296079456227</v>
      </c>
      <c r="L5" s="17">
        <v>266.66620870599684</v>
      </c>
      <c r="M5" s="17">
        <v>259.99946163494434</v>
      </c>
      <c r="N5" s="17">
        <v>253.33272046233208</v>
      </c>
      <c r="O5" s="17">
        <v>246.6659860044627</v>
      </c>
      <c r="P5" s="17">
        <v>239.99925900407089</v>
      </c>
      <c r="Q5" s="17">
        <v>233.33254012218555</v>
      </c>
      <c r="R5" s="17">
        <v>226.66582993088755</v>
      </c>
      <c r="S5" s="17">
        <v>219.99912890704184</v>
      </c>
      <c r="T5" s="17">
        <v>213.33243742707276</v>
      </c>
      <c r="U5" s="17">
        <v>206.66575576284029</v>
      </c>
      <c r="V5" s="17">
        <v>199.99908407866073</v>
      </c>
      <c r="W5" s="17">
        <v>193.33242242950701</v>
      </c>
      <c r="X5" s="17">
        <v>186.66577076040625</v>
      </c>
      <c r="Y5" s="17">
        <v>179.99912890704189</v>
      </c>
      <c r="Z5" s="17">
        <v>173.33249659755433</v>
      </c>
      <c r="AA5" s="17">
        <v>166.66587345551903</v>
      </c>
      <c r="AB5" s="17">
        <v>159.99925900407115</v>
      </c>
      <c r="AC5" s="17">
        <v>153.33265267112967</v>
      </c>
      <c r="AD5" s="17">
        <v>146.66605379566573</v>
      </c>
      <c r="AE5" s="17">
        <v>139.99946163494462</v>
      </c>
      <c r="AF5" s="17">
        <v>133.33287537266384</v>
      </c>
      <c r="AG5" s="17">
        <v>126.66629412789595</v>
      </c>
      <c r="AH5" s="17">
        <v>119.99971696474074</v>
      </c>
      <c r="AI5" s="17">
        <v>113.3331429025791</v>
      </c>
      <c r="AJ5" s="17">
        <v>106.66657092681663</v>
      </c>
      <c r="AK5" s="17">
        <f t="shared" si="3"/>
        <v>100</v>
      </c>
      <c r="AL5" s="15">
        <f t="shared" si="4"/>
        <v>9.3333333333333338E-2</v>
      </c>
      <c r="AM5" s="11">
        <v>29</v>
      </c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</row>
    <row r="6" spans="1:138" ht="15.6" x14ac:dyDescent="0.3">
      <c r="A6" s="6" t="s">
        <v>6</v>
      </c>
      <c r="B6" s="6">
        <f>B4/30</f>
        <v>3.3333333333333335E-3</v>
      </c>
      <c r="C6" s="3"/>
      <c r="D6" s="4"/>
      <c r="E6" s="11">
        <v>28</v>
      </c>
      <c r="F6" s="15">
        <f t="shared" si="1"/>
        <v>9.0000000000000011E-2</v>
      </c>
      <c r="G6" s="17">
        <f t="shared" si="2"/>
        <v>300</v>
      </c>
      <c r="H6" s="17">
        <v>293.33323759348332</v>
      </c>
      <c r="I6" s="17">
        <v>286.66647623591234</v>
      </c>
      <c r="J6" s="17">
        <v>279.99971696474051</v>
      </c>
      <c r="K6" s="17">
        <v>273.33296079456227</v>
      </c>
      <c r="L6" s="17">
        <v>266.66620870599678</v>
      </c>
      <c r="M6" s="17">
        <v>259.99946163494428</v>
      </c>
      <c r="N6" s="17">
        <v>253.33272046233205</v>
      </c>
      <c r="O6" s="17">
        <v>246.66598600446264</v>
      </c>
      <c r="P6" s="17">
        <v>239.99925900407089</v>
      </c>
      <c r="Q6" s="17">
        <v>233.33254012218552</v>
      </c>
      <c r="R6" s="17">
        <v>226.66582993088753</v>
      </c>
      <c r="S6" s="17">
        <v>219.99912890704178</v>
      </c>
      <c r="T6" s="17">
        <v>213.33243742707276</v>
      </c>
      <c r="U6" s="17">
        <v>206.66575576284029</v>
      </c>
      <c r="V6" s="17">
        <v>199.9990840786607</v>
      </c>
      <c r="W6" s="17">
        <v>193.33242242950701</v>
      </c>
      <c r="X6" s="17">
        <v>186.66577076040625</v>
      </c>
      <c r="Y6" s="17">
        <v>179.99912890704189</v>
      </c>
      <c r="Z6" s="17">
        <v>173.33249659755433</v>
      </c>
      <c r="AA6" s="17">
        <v>166.66587345551903</v>
      </c>
      <c r="AB6" s="17">
        <v>159.99925900407112</v>
      </c>
      <c r="AC6" s="17">
        <v>153.33265267112967</v>
      </c>
      <c r="AD6" s="17">
        <v>146.6660537956657</v>
      </c>
      <c r="AE6" s="17">
        <v>139.99946163494462</v>
      </c>
      <c r="AF6" s="17">
        <v>133.33287537266381</v>
      </c>
      <c r="AG6" s="17">
        <v>126.66629412789592</v>
      </c>
      <c r="AH6" s="17">
        <v>119.99971696474074</v>
      </c>
      <c r="AI6" s="17">
        <v>113.3331429025791</v>
      </c>
      <c r="AJ6" s="17">
        <v>106.66657092681663</v>
      </c>
      <c r="AK6" s="17">
        <f t="shared" si="3"/>
        <v>100</v>
      </c>
      <c r="AL6" s="15">
        <f t="shared" si="4"/>
        <v>9.0000000000000011E-2</v>
      </c>
      <c r="AM6" s="11">
        <v>28</v>
      </c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</row>
    <row r="7" spans="1:138" ht="15.6" x14ac:dyDescent="0.3">
      <c r="A7" s="6" t="s">
        <v>7</v>
      </c>
      <c r="B7" s="6">
        <v>500</v>
      </c>
      <c r="C7" s="7">
        <v>502</v>
      </c>
      <c r="E7" s="11">
        <v>27</v>
      </c>
      <c r="F7" s="15">
        <f t="shared" si="1"/>
        <v>8.666666666666667E-2</v>
      </c>
      <c r="G7" s="17">
        <f t="shared" si="2"/>
        <v>300</v>
      </c>
      <c r="H7" s="17">
        <v>293.33323759348332</v>
      </c>
      <c r="I7" s="17">
        <v>286.66647623591234</v>
      </c>
      <c r="J7" s="17">
        <v>279.99971696474051</v>
      </c>
      <c r="K7" s="17">
        <v>273.33296079456227</v>
      </c>
      <c r="L7" s="17">
        <v>266.66620870599678</v>
      </c>
      <c r="M7" s="17">
        <v>259.99946163494428</v>
      </c>
      <c r="N7" s="17">
        <v>253.33272046233205</v>
      </c>
      <c r="O7" s="17">
        <v>246.66598600446264</v>
      </c>
      <c r="P7" s="17">
        <v>239.99925900407089</v>
      </c>
      <c r="Q7" s="17">
        <v>233.33254012218555</v>
      </c>
      <c r="R7" s="17">
        <v>226.66582993088753</v>
      </c>
      <c r="S7" s="17">
        <v>219.99912890704178</v>
      </c>
      <c r="T7" s="17">
        <v>213.33243742707279</v>
      </c>
      <c r="U7" s="17">
        <v>206.66575576284029</v>
      </c>
      <c r="V7" s="17">
        <v>199.9990840786607</v>
      </c>
      <c r="W7" s="17">
        <v>193.33242242950701</v>
      </c>
      <c r="X7" s="17">
        <v>186.66577076040625</v>
      </c>
      <c r="Y7" s="17">
        <v>179.99912890704189</v>
      </c>
      <c r="Z7" s="17">
        <v>173.33249659755433</v>
      </c>
      <c r="AA7" s="17">
        <v>166.66587345551903</v>
      </c>
      <c r="AB7" s="17">
        <v>159.99925900407112</v>
      </c>
      <c r="AC7" s="17">
        <v>153.33265267112967</v>
      </c>
      <c r="AD7" s="17">
        <v>146.6660537956657</v>
      </c>
      <c r="AE7" s="17">
        <v>139.99946163494462</v>
      </c>
      <c r="AF7" s="17">
        <v>133.33287537266381</v>
      </c>
      <c r="AG7" s="17">
        <v>126.66629412789592</v>
      </c>
      <c r="AH7" s="17">
        <v>119.99971696474074</v>
      </c>
      <c r="AI7" s="17">
        <v>113.33314290257911</v>
      </c>
      <c r="AJ7" s="17">
        <v>106.66657092681663</v>
      </c>
      <c r="AK7" s="17">
        <f t="shared" si="3"/>
        <v>100</v>
      </c>
      <c r="AL7" s="15">
        <f t="shared" si="4"/>
        <v>8.666666666666667E-2</v>
      </c>
      <c r="AM7" s="11">
        <v>27</v>
      </c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</row>
    <row r="8" spans="1:138" ht="15.6" x14ac:dyDescent="0.3">
      <c r="A8" s="6" t="s">
        <v>8</v>
      </c>
      <c r="B8" s="6">
        <v>2</v>
      </c>
      <c r="E8" s="11">
        <v>26</v>
      </c>
      <c r="F8" s="15">
        <f t="shared" si="1"/>
        <v>8.3333333333333343E-2</v>
      </c>
      <c r="G8" s="17">
        <f t="shared" si="2"/>
        <v>300</v>
      </c>
      <c r="H8" s="17">
        <v>293.33323759348332</v>
      </c>
      <c r="I8" s="17">
        <v>286.66647623591234</v>
      </c>
      <c r="J8" s="17">
        <v>279.99971696474051</v>
      </c>
      <c r="K8" s="17">
        <v>273.33296079456227</v>
      </c>
      <c r="L8" s="17">
        <v>266.66620870599672</v>
      </c>
      <c r="M8" s="17">
        <v>259.99946163494423</v>
      </c>
      <c r="N8" s="17">
        <v>253.33272046233202</v>
      </c>
      <c r="O8" s="17">
        <v>246.66598600446264</v>
      </c>
      <c r="P8" s="17">
        <v>239.99925900407089</v>
      </c>
      <c r="Q8" s="17">
        <v>233.33254012218555</v>
      </c>
      <c r="R8" s="17">
        <v>226.66582993088753</v>
      </c>
      <c r="S8" s="17">
        <v>219.99912890704178</v>
      </c>
      <c r="T8" s="17">
        <v>213.33243742707276</v>
      </c>
      <c r="U8" s="17">
        <v>206.66575576284026</v>
      </c>
      <c r="V8" s="17">
        <v>199.9990840786607</v>
      </c>
      <c r="W8" s="17">
        <v>193.33242242950698</v>
      </c>
      <c r="X8" s="17">
        <v>186.66577076040625</v>
      </c>
      <c r="Y8" s="17">
        <v>179.99912890704189</v>
      </c>
      <c r="Z8" s="17">
        <v>173.33249659755433</v>
      </c>
      <c r="AA8" s="17">
        <v>166.66587345551903</v>
      </c>
      <c r="AB8" s="17">
        <v>159.99925900407112</v>
      </c>
      <c r="AC8" s="17">
        <v>153.33265267112967</v>
      </c>
      <c r="AD8" s="17">
        <v>146.6660537956657</v>
      </c>
      <c r="AE8" s="17">
        <v>139.99946163494462</v>
      </c>
      <c r="AF8" s="17">
        <v>133.33287537266381</v>
      </c>
      <c r="AG8" s="17">
        <v>126.6662941278959</v>
      </c>
      <c r="AH8" s="17">
        <v>119.99971696474074</v>
      </c>
      <c r="AI8" s="17">
        <v>113.33314290257911</v>
      </c>
      <c r="AJ8" s="17">
        <v>106.66657092681663</v>
      </c>
      <c r="AK8" s="17">
        <f t="shared" si="3"/>
        <v>100</v>
      </c>
      <c r="AL8" s="15">
        <f t="shared" si="4"/>
        <v>8.3333333333333343E-2</v>
      </c>
      <c r="AM8" s="11">
        <v>26</v>
      </c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</row>
    <row r="9" spans="1:138" ht="15.6" x14ac:dyDescent="0.3">
      <c r="A9" s="7"/>
      <c r="B9" s="7"/>
      <c r="E9" s="11">
        <v>25</v>
      </c>
      <c r="F9" s="15">
        <f t="shared" si="1"/>
        <v>0.08</v>
      </c>
      <c r="G9" s="17">
        <f t="shared" si="2"/>
        <v>300</v>
      </c>
      <c r="H9" s="17">
        <v>293.33323759348332</v>
      </c>
      <c r="I9" s="17">
        <v>286.66647623591234</v>
      </c>
      <c r="J9" s="17">
        <v>279.99971696474051</v>
      </c>
      <c r="K9" s="17">
        <v>273.33296079456227</v>
      </c>
      <c r="L9" s="17">
        <v>266.66620870599672</v>
      </c>
      <c r="M9" s="17">
        <v>259.99946163494423</v>
      </c>
      <c r="N9" s="17">
        <v>253.33272046233202</v>
      </c>
      <c r="O9" s="17">
        <v>246.66598600446264</v>
      </c>
      <c r="P9" s="17">
        <v>239.99925900407086</v>
      </c>
      <c r="Q9" s="17">
        <v>233.33254012218555</v>
      </c>
      <c r="R9" s="17">
        <v>226.66582993088753</v>
      </c>
      <c r="S9" s="17">
        <v>219.99912890704178</v>
      </c>
      <c r="T9" s="17">
        <v>213.33243742707276</v>
      </c>
      <c r="U9" s="17">
        <v>206.66575576284026</v>
      </c>
      <c r="V9" s="17">
        <v>199.9990840786607</v>
      </c>
      <c r="W9" s="17">
        <v>193.33242242950698</v>
      </c>
      <c r="X9" s="17">
        <v>186.66577076040625</v>
      </c>
      <c r="Y9" s="17">
        <v>179.99912890704189</v>
      </c>
      <c r="Z9" s="17">
        <v>173.33249659755433</v>
      </c>
      <c r="AA9" s="17">
        <v>166.66587345551903</v>
      </c>
      <c r="AB9" s="17">
        <v>159.99925900407112</v>
      </c>
      <c r="AC9" s="17">
        <v>153.33265267112964</v>
      </c>
      <c r="AD9" s="17">
        <v>146.6660537956657</v>
      </c>
      <c r="AE9" s="17">
        <v>139.99946163494462</v>
      </c>
      <c r="AF9" s="17">
        <v>133.33287537266381</v>
      </c>
      <c r="AG9" s="17">
        <v>126.6662941278959</v>
      </c>
      <c r="AH9" s="17">
        <v>119.99971696474074</v>
      </c>
      <c r="AI9" s="17">
        <v>113.3331429025791</v>
      </c>
      <c r="AJ9" s="17">
        <v>106.66657092681663</v>
      </c>
      <c r="AK9" s="17">
        <f t="shared" si="3"/>
        <v>100</v>
      </c>
      <c r="AL9" s="15">
        <f t="shared" si="4"/>
        <v>0.08</v>
      </c>
      <c r="AM9" s="11">
        <v>25</v>
      </c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</row>
    <row r="10" spans="1:138" ht="15.6" x14ac:dyDescent="0.3">
      <c r="A10" s="5" t="s">
        <v>9</v>
      </c>
      <c r="B10" s="5"/>
      <c r="E10" s="11">
        <v>24</v>
      </c>
      <c r="F10" s="15">
        <f t="shared" si="1"/>
        <v>7.6666666666666675E-2</v>
      </c>
      <c r="G10" s="17">
        <f t="shared" si="2"/>
        <v>300</v>
      </c>
      <c r="H10" s="17">
        <v>293.33323759348332</v>
      </c>
      <c r="I10" s="17">
        <v>286.66647623591234</v>
      </c>
      <c r="J10" s="17">
        <v>279.99971696474051</v>
      </c>
      <c r="K10" s="17">
        <v>273.33296079456227</v>
      </c>
      <c r="L10" s="17">
        <v>266.66620870599672</v>
      </c>
      <c r="M10" s="17">
        <v>259.99946163494428</v>
      </c>
      <c r="N10" s="17">
        <v>253.33272046233202</v>
      </c>
      <c r="O10" s="17">
        <v>246.66598600446267</v>
      </c>
      <c r="P10" s="17">
        <v>239.99925900407086</v>
      </c>
      <c r="Q10" s="17">
        <v>233.33254012218555</v>
      </c>
      <c r="R10" s="17">
        <v>226.66582993088753</v>
      </c>
      <c r="S10" s="17">
        <v>219.99912890704178</v>
      </c>
      <c r="T10" s="17">
        <v>213.33243742707276</v>
      </c>
      <c r="U10" s="17">
        <v>206.66575576284026</v>
      </c>
      <c r="V10" s="17">
        <v>199.9990840786607</v>
      </c>
      <c r="W10" s="17">
        <v>193.33242242950701</v>
      </c>
      <c r="X10" s="17">
        <v>186.66577076040625</v>
      </c>
      <c r="Y10" s="17">
        <v>179.99912890704189</v>
      </c>
      <c r="Z10" s="17">
        <v>173.33249659755433</v>
      </c>
      <c r="AA10" s="17">
        <v>166.66587345551903</v>
      </c>
      <c r="AB10" s="17">
        <v>159.99925900407112</v>
      </c>
      <c r="AC10" s="17">
        <v>153.33265267112961</v>
      </c>
      <c r="AD10" s="17">
        <v>146.6660537956657</v>
      </c>
      <c r="AE10" s="17">
        <v>139.99946163494462</v>
      </c>
      <c r="AF10" s="17">
        <v>133.33287537266381</v>
      </c>
      <c r="AG10" s="17">
        <v>126.6662941278959</v>
      </c>
      <c r="AH10" s="17">
        <v>119.99971696474074</v>
      </c>
      <c r="AI10" s="17">
        <v>113.33314290257911</v>
      </c>
      <c r="AJ10" s="17">
        <v>106.66657092681663</v>
      </c>
      <c r="AK10" s="17">
        <f t="shared" si="3"/>
        <v>100</v>
      </c>
      <c r="AL10" s="15">
        <f t="shared" si="4"/>
        <v>7.6666666666666675E-2</v>
      </c>
      <c r="AM10" s="11">
        <v>24</v>
      </c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</row>
    <row r="11" spans="1:138" ht="15.6" x14ac:dyDescent="0.3">
      <c r="A11" s="6" t="s">
        <v>10</v>
      </c>
      <c r="B11" s="6">
        <v>460</v>
      </c>
      <c r="E11" s="11">
        <v>23</v>
      </c>
      <c r="F11" s="15">
        <f t="shared" si="1"/>
        <v>7.3333333333333334E-2</v>
      </c>
      <c r="G11" s="17">
        <f t="shared" si="2"/>
        <v>300</v>
      </c>
      <c r="H11" s="17">
        <v>293.33323759348332</v>
      </c>
      <c r="I11" s="17">
        <v>286.66647623591234</v>
      </c>
      <c r="J11" s="17">
        <v>279.99971696474051</v>
      </c>
      <c r="K11" s="17">
        <v>273.33296079456227</v>
      </c>
      <c r="L11" s="17">
        <v>266.66620870599672</v>
      </c>
      <c r="M11" s="17">
        <v>259.99946163494428</v>
      </c>
      <c r="N11" s="17">
        <v>253.33272046233199</v>
      </c>
      <c r="O11" s="17">
        <v>246.66598600446264</v>
      </c>
      <c r="P11" s="17">
        <v>239.99925900407084</v>
      </c>
      <c r="Q11" s="17">
        <v>233.33254012218549</v>
      </c>
      <c r="R11" s="17">
        <v>226.6658299308875</v>
      </c>
      <c r="S11" s="17">
        <v>219.99912890704178</v>
      </c>
      <c r="T11" s="17">
        <v>213.33243742707276</v>
      </c>
      <c r="U11" s="17">
        <v>206.66575576284021</v>
      </c>
      <c r="V11" s="17">
        <v>199.99908407866067</v>
      </c>
      <c r="W11" s="17">
        <v>193.33242242950698</v>
      </c>
      <c r="X11" s="17">
        <v>186.66577076040622</v>
      </c>
      <c r="Y11" s="17">
        <v>179.99912890704189</v>
      </c>
      <c r="Z11" s="17">
        <v>173.33249659755433</v>
      </c>
      <c r="AA11" s="17">
        <v>166.66587345551903</v>
      </c>
      <c r="AB11" s="17">
        <v>159.99925900407109</v>
      </c>
      <c r="AC11" s="17">
        <v>153.33265267112961</v>
      </c>
      <c r="AD11" s="17">
        <v>146.66605379566568</v>
      </c>
      <c r="AE11" s="17">
        <v>139.99946163494462</v>
      </c>
      <c r="AF11" s="17">
        <v>133.33287537266381</v>
      </c>
      <c r="AG11" s="17">
        <v>126.6662941278959</v>
      </c>
      <c r="AH11" s="17">
        <v>119.99971696474073</v>
      </c>
      <c r="AI11" s="17">
        <v>113.33314290257911</v>
      </c>
      <c r="AJ11" s="17">
        <v>106.66657092681663</v>
      </c>
      <c r="AK11" s="17">
        <f t="shared" si="3"/>
        <v>100</v>
      </c>
      <c r="AL11" s="15">
        <f t="shared" si="4"/>
        <v>7.3333333333333334E-2</v>
      </c>
      <c r="AM11" s="11">
        <v>23</v>
      </c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</row>
    <row r="12" spans="1:138" ht="15.6" x14ac:dyDescent="0.3">
      <c r="A12" s="6" t="s">
        <v>11</v>
      </c>
      <c r="B12" s="6">
        <v>7800</v>
      </c>
      <c r="E12" s="11">
        <v>22</v>
      </c>
      <c r="F12" s="15">
        <f t="shared" si="1"/>
        <v>7.0000000000000007E-2</v>
      </c>
      <c r="G12" s="17">
        <f t="shared" si="2"/>
        <v>300</v>
      </c>
      <c r="H12" s="17">
        <v>293.33323759348332</v>
      </c>
      <c r="I12" s="17">
        <v>286.66647623591234</v>
      </c>
      <c r="J12" s="17">
        <v>279.99971696474051</v>
      </c>
      <c r="K12" s="17">
        <v>273.33296079456227</v>
      </c>
      <c r="L12" s="17">
        <v>266.66620870599672</v>
      </c>
      <c r="M12" s="17">
        <v>259.99946163494423</v>
      </c>
      <c r="N12" s="17">
        <v>253.33272046233196</v>
      </c>
      <c r="O12" s="17">
        <v>246.66598600446264</v>
      </c>
      <c r="P12" s="17">
        <v>239.99925900407078</v>
      </c>
      <c r="Q12" s="17">
        <v>233.33254012218549</v>
      </c>
      <c r="R12" s="17">
        <v>226.66582993088747</v>
      </c>
      <c r="S12" s="17">
        <v>219.99912890704175</v>
      </c>
      <c r="T12" s="17">
        <v>213.33243742707273</v>
      </c>
      <c r="U12" s="17">
        <v>206.66575576284021</v>
      </c>
      <c r="V12" s="17">
        <v>199.99908407866064</v>
      </c>
      <c r="W12" s="17">
        <v>193.33242242950695</v>
      </c>
      <c r="X12" s="17">
        <v>186.66577076040619</v>
      </c>
      <c r="Y12" s="17">
        <v>179.99912890704186</v>
      </c>
      <c r="Z12" s="17">
        <v>173.3324965975543</v>
      </c>
      <c r="AA12" s="17">
        <v>166.66587345551901</v>
      </c>
      <c r="AB12" s="17">
        <v>159.99925900407106</v>
      </c>
      <c r="AC12" s="17">
        <v>153.33265267112961</v>
      </c>
      <c r="AD12" s="17">
        <v>146.66605379566568</v>
      </c>
      <c r="AE12" s="17">
        <v>139.99946163494462</v>
      </c>
      <c r="AF12" s="17">
        <v>133.33287537266381</v>
      </c>
      <c r="AG12" s="17">
        <v>126.6662941278959</v>
      </c>
      <c r="AH12" s="17">
        <v>119.99971696474071</v>
      </c>
      <c r="AI12" s="17">
        <v>113.3331429025791</v>
      </c>
      <c r="AJ12" s="17">
        <v>106.66657092681663</v>
      </c>
      <c r="AK12" s="17">
        <f t="shared" si="3"/>
        <v>100</v>
      </c>
      <c r="AL12" s="15">
        <f t="shared" si="4"/>
        <v>7.0000000000000007E-2</v>
      </c>
      <c r="AM12" s="11">
        <v>22</v>
      </c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</row>
    <row r="13" spans="1:138" ht="15.6" x14ac:dyDescent="0.3">
      <c r="A13" s="8" t="s">
        <v>26</v>
      </c>
      <c r="B13" s="6">
        <v>46</v>
      </c>
      <c r="E13" s="11">
        <v>21</v>
      </c>
      <c r="F13" s="15">
        <f t="shared" si="1"/>
        <v>6.6666666666666666E-2</v>
      </c>
      <c r="G13" s="17">
        <v>300</v>
      </c>
      <c r="H13" s="17">
        <v>293.33323759348326</v>
      </c>
      <c r="I13" s="17">
        <v>286.66647623591234</v>
      </c>
      <c r="J13" s="17">
        <v>279.99971696474051</v>
      </c>
      <c r="K13" s="17">
        <v>273.33296079456227</v>
      </c>
      <c r="L13" s="17">
        <v>266.66620870599672</v>
      </c>
      <c r="M13" s="17">
        <v>259.99946163494417</v>
      </c>
      <c r="N13" s="17">
        <v>253.33272046233191</v>
      </c>
      <c r="O13" s="17">
        <v>246.66598600446258</v>
      </c>
      <c r="P13" s="17">
        <v>239.99925900407075</v>
      </c>
      <c r="Q13" s="17">
        <v>233.33254012218543</v>
      </c>
      <c r="R13" s="17">
        <v>226.66582993088741</v>
      </c>
      <c r="S13" s="17">
        <v>219.99912890704169</v>
      </c>
      <c r="T13" s="17">
        <v>213.33243742707268</v>
      </c>
      <c r="U13" s="17">
        <v>206.66575576284015</v>
      </c>
      <c r="V13" s="17">
        <v>199.99908407866059</v>
      </c>
      <c r="W13" s="17">
        <v>193.33242242950689</v>
      </c>
      <c r="X13" s="17">
        <v>186.66577076040613</v>
      </c>
      <c r="Y13" s="17">
        <v>179.99912890704184</v>
      </c>
      <c r="Z13" s="17">
        <v>173.33249659755427</v>
      </c>
      <c r="AA13" s="17">
        <v>166.66587345551898</v>
      </c>
      <c r="AB13" s="17">
        <v>159.99925900407101</v>
      </c>
      <c r="AC13" s="17">
        <v>153.33265267112958</v>
      </c>
      <c r="AD13" s="17">
        <v>146.66605379566565</v>
      </c>
      <c r="AE13" s="17">
        <v>139.99946163494459</v>
      </c>
      <c r="AF13" s="17">
        <v>133.33287537266378</v>
      </c>
      <c r="AG13" s="17">
        <v>126.6662941278959</v>
      </c>
      <c r="AH13" s="17">
        <v>119.99971696474068</v>
      </c>
      <c r="AI13" s="17">
        <v>113.33314290257908</v>
      </c>
      <c r="AJ13" s="17">
        <v>106.6665709268166</v>
      </c>
      <c r="AK13" s="17">
        <f t="shared" si="3"/>
        <v>100</v>
      </c>
      <c r="AL13" s="15">
        <f t="shared" si="4"/>
        <v>6.6666666666666666E-2</v>
      </c>
      <c r="AM13" s="11">
        <v>21</v>
      </c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</row>
    <row r="14" spans="1:138" ht="15.6" x14ac:dyDescent="0.3">
      <c r="A14" s="9"/>
      <c r="B14" s="9"/>
      <c r="E14" s="11">
        <v>20</v>
      </c>
      <c r="F14" s="15">
        <f t="shared" si="1"/>
        <v>6.3333333333333339E-2</v>
      </c>
      <c r="G14" s="17">
        <f t="shared" si="2"/>
        <v>300</v>
      </c>
      <c r="H14" s="17">
        <v>293.3332375934832</v>
      </c>
      <c r="I14" s="17">
        <v>286.66647623591228</v>
      </c>
      <c r="J14" s="17">
        <v>279.99971696474046</v>
      </c>
      <c r="K14" s="17">
        <v>273.33296079456221</v>
      </c>
      <c r="L14" s="17">
        <v>266.66620870599667</v>
      </c>
      <c r="M14" s="17">
        <v>259.99946163494417</v>
      </c>
      <c r="N14" s="17">
        <v>253.33272046233191</v>
      </c>
      <c r="O14" s="17">
        <v>246.66598600446252</v>
      </c>
      <c r="P14" s="17">
        <v>239.99925900407072</v>
      </c>
      <c r="Q14" s="17">
        <v>233.33254012218538</v>
      </c>
      <c r="R14" s="17">
        <v>226.66582993088741</v>
      </c>
      <c r="S14" s="17">
        <v>219.99912890704167</v>
      </c>
      <c r="T14" s="17">
        <v>213.33243742707265</v>
      </c>
      <c r="U14" s="17">
        <v>206.66575576284012</v>
      </c>
      <c r="V14" s="17">
        <v>199.99908407866056</v>
      </c>
      <c r="W14" s="17">
        <v>193.33242242950689</v>
      </c>
      <c r="X14" s="17">
        <v>186.6657707604061</v>
      </c>
      <c r="Y14" s="17">
        <v>179.99912890704181</v>
      </c>
      <c r="Z14" s="17">
        <v>173.33249659755424</v>
      </c>
      <c r="AA14" s="17">
        <v>166.66587345551898</v>
      </c>
      <c r="AB14" s="17">
        <v>159.99925900407101</v>
      </c>
      <c r="AC14" s="17">
        <v>153.33265267112955</v>
      </c>
      <c r="AD14" s="17">
        <v>146.66605379566565</v>
      </c>
      <c r="AE14" s="17">
        <v>139.99946163494459</v>
      </c>
      <c r="AF14" s="17">
        <v>133.33287537266375</v>
      </c>
      <c r="AG14" s="17">
        <v>126.66629412789588</v>
      </c>
      <c r="AH14" s="17">
        <v>119.99971696474068</v>
      </c>
      <c r="AI14" s="17">
        <v>113.33314290257907</v>
      </c>
      <c r="AJ14" s="17">
        <v>106.6665709268166</v>
      </c>
      <c r="AK14" s="17">
        <f t="shared" si="3"/>
        <v>100</v>
      </c>
      <c r="AL14" s="15">
        <f t="shared" si="4"/>
        <v>6.3333333333333339E-2</v>
      </c>
      <c r="AM14" s="11">
        <v>20</v>
      </c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</row>
    <row r="15" spans="1:138" ht="15.6" x14ac:dyDescent="0.3">
      <c r="A15" s="5" t="s">
        <v>19</v>
      </c>
      <c r="B15" s="5"/>
      <c r="E15" s="11">
        <v>19</v>
      </c>
      <c r="F15" s="15">
        <f t="shared" si="1"/>
        <v>6.0000000000000005E-2</v>
      </c>
      <c r="G15" s="17">
        <f t="shared" si="2"/>
        <v>300</v>
      </c>
      <c r="H15" s="17">
        <v>293.3332375934832</v>
      </c>
      <c r="I15" s="17">
        <v>286.66647623591223</v>
      </c>
      <c r="J15" s="17">
        <v>279.9997169647404</v>
      </c>
      <c r="K15" s="17">
        <v>273.33296079456215</v>
      </c>
      <c r="L15" s="17">
        <v>266.66620870599667</v>
      </c>
      <c r="M15" s="17">
        <v>259.99946163494411</v>
      </c>
      <c r="N15" s="17">
        <v>253.33272046233185</v>
      </c>
      <c r="O15" s="17">
        <v>246.66598600446247</v>
      </c>
      <c r="P15" s="17">
        <v>239.99925900407069</v>
      </c>
      <c r="Q15" s="17">
        <v>233.33254012218532</v>
      </c>
      <c r="R15" s="17">
        <v>226.66582993088736</v>
      </c>
      <c r="S15" s="17">
        <v>219.99912890704161</v>
      </c>
      <c r="T15" s="17">
        <v>213.33243742707259</v>
      </c>
      <c r="U15" s="17">
        <v>206.66575576284009</v>
      </c>
      <c r="V15" s="17">
        <v>199.99908407866053</v>
      </c>
      <c r="W15" s="17">
        <v>193.33242242950686</v>
      </c>
      <c r="X15" s="17">
        <v>186.66577076040608</v>
      </c>
      <c r="Y15" s="17">
        <v>179.99912890704178</v>
      </c>
      <c r="Z15" s="17">
        <v>173.33249659755418</v>
      </c>
      <c r="AA15" s="17">
        <v>166.66587345551892</v>
      </c>
      <c r="AB15" s="17">
        <v>159.99925900407098</v>
      </c>
      <c r="AC15" s="17">
        <v>153.33265267112955</v>
      </c>
      <c r="AD15" s="17">
        <v>146.66605379566562</v>
      </c>
      <c r="AE15" s="17">
        <v>139.99946163494457</v>
      </c>
      <c r="AF15" s="17">
        <v>133.33287537266375</v>
      </c>
      <c r="AG15" s="17">
        <v>126.66629412789587</v>
      </c>
      <c r="AH15" s="17">
        <v>119.99971696474067</v>
      </c>
      <c r="AI15" s="17">
        <v>113.33314290257906</v>
      </c>
      <c r="AJ15" s="17">
        <v>106.66657092681659</v>
      </c>
      <c r="AK15" s="17">
        <f t="shared" si="3"/>
        <v>100</v>
      </c>
      <c r="AL15" s="15">
        <f t="shared" si="4"/>
        <v>6.0000000000000005E-2</v>
      </c>
      <c r="AM15" s="11">
        <v>19</v>
      </c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</row>
    <row r="16" spans="1:138" ht="15.6" x14ac:dyDescent="0.3">
      <c r="A16" s="6" t="s">
        <v>12</v>
      </c>
      <c r="B16" s="6">
        <v>300</v>
      </c>
      <c r="E16" s="11">
        <v>18</v>
      </c>
      <c r="F16" s="15">
        <f t="shared" si="1"/>
        <v>5.6666666666666671E-2</v>
      </c>
      <c r="G16" s="17">
        <f t="shared" si="2"/>
        <v>300</v>
      </c>
      <c r="H16" s="17">
        <v>293.3332375934832</v>
      </c>
      <c r="I16" s="17">
        <v>286.66647623591223</v>
      </c>
      <c r="J16" s="17">
        <v>279.9997169647404</v>
      </c>
      <c r="K16" s="17">
        <v>273.33296079456215</v>
      </c>
      <c r="L16" s="17">
        <v>266.66620870599667</v>
      </c>
      <c r="M16" s="17">
        <v>259.99946163494405</v>
      </c>
      <c r="N16" s="17">
        <v>253.33272046233179</v>
      </c>
      <c r="O16" s="17">
        <v>246.66598600446241</v>
      </c>
      <c r="P16" s="17">
        <v>239.99925900407067</v>
      </c>
      <c r="Q16" s="17">
        <v>233.33254012218532</v>
      </c>
      <c r="R16" s="17">
        <v>226.66582993088736</v>
      </c>
      <c r="S16" s="17">
        <v>219.99912890704158</v>
      </c>
      <c r="T16" s="17">
        <v>213.33243742707253</v>
      </c>
      <c r="U16" s="17">
        <v>206.66575576284006</v>
      </c>
      <c r="V16" s="17">
        <v>199.9990840786605</v>
      </c>
      <c r="W16" s="17">
        <v>193.33242242950683</v>
      </c>
      <c r="X16" s="17">
        <v>186.66577076040605</v>
      </c>
      <c r="Y16" s="17">
        <v>179.99912890704175</v>
      </c>
      <c r="Z16" s="17">
        <v>173.33249659755415</v>
      </c>
      <c r="AA16" s="17">
        <v>166.66587345551889</v>
      </c>
      <c r="AB16" s="17">
        <v>159.99925900407095</v>
      </c>
      <c r="AC16" s="17">
        <v>153.33265267112952</v>
      </c>
      <c r="AD16" s="17">
        <v>146.66605379566562</v>
      </c>
      <c r="AE16" s="17">
        <v>139.99946163494457</v>
      </c>
      <c r="AF16" s="17">
        <v>133.33287537266372</v>
      </c>
      <c r="AG16" s="17">
        <v>126.66629412789585</v>
      </c>
      <c r="AH16" s="17">
        <v>119.99971696474066</v>
      </c>
      <c r="AI16" s="17">
        <v>113.33314290257904</v>
      </c>
      <c r="AJ16" s="17">
        <v>106.66657092681658</v>
      </c>
      <c r="AK16" s="17">
        <f t="shared" si="3"/>
        <v>100</v>
      </c>
      <c r="AL16" s="15">
        <f t="shared" si="4"/>
        <v>5.6666666666666671E-2</v>
      </c>
      <c r="AM16" s="11">
        <v>18</v>
      </c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</row>
    <row r="17" spans="1:138" ht="15.6" x14ac:dyDescent="0.3">
      <c r="A17" s="6" t="s">
        <v>13</v>
      </c>
      <c r="B17" s="6">
        <v>100</v>
      </c>
      <c r="E17" s="11">
        <v>17</v>
      </c>
      <c r="F17" s="15">
        <f t="shared" si="1"/>
        <v>5.3333333333333337E-2</v>
      </c>
      <c r="G17" s="17">
        <f t="shared" si="2"/>
        <v>300</v>
      </c>
      <c r="H17" s="17">
        <v>293.3332375934832</v>
      </c>
      <c r="I17" s="17">
        <v>286.66647623591223</v>
      </c>
      <c r="J17" s="17">
        <v>279.9997169647404</v>
      </c>
      <c r="K17" s="17">
        <v>273.33296079456215</v>
      </c>
      <c r="L17" s="17">
        <v>266.66620870599667</v>
      </c>
      <c r="M17" s="17">
        <v>259.99946163494405</v>
      </c>
      <c r="N17" s="17">
        <v>253.33272046233176</v>
      </c>
      <c r="O17" s="17">
        <v>246.66598600446238</v>
      </c>
      <c r="P17" s="17">
        <v>239.99925900407067</v>
      </c>
      <c r="Q17" s="17">
        <v>233.33254012218529</v>
      </c>
      <c r="R17" s="17">
        <v>226.66582993088736</v>
      </c>
      <c r="S17" s="17">
        <v>219.99912890704155</v>
      </c>
      <c r="T17" s="17">
        <v>213.33243742707253</v>
      </c>
      <c r="U17" s="17">
        <v>206.66575576284004</v>
      </c>
      <c r="V17" s="17">
        <v>199.99908407866047</v>
      </c>
      <c r="W17" s="17">
        <v>193.33242242950681</v>
      </c>
      <c r="X17" s="17">
        <v>186.66577076040602</v>
      </c>
      <c r="Y17" s="17">
        <v>179.99912890704172</v>
      </c>
      <c r="Z17" s="17">
        <v>173.33249659755415</v>
      </c>
      <c r="AA17" s="17">
        <v>166.66587345551886</v>
      </c>
      <c r="AB17" s="17">
        <v>159.99925900407092</v>
      </c>
      <c r="AC17" s="17">
        <v>153.33265267112949</v>
      </c>
      <c r="AD17" s="17">
        <v>146.66605379566562</v>
      </c>
      <c r="AE17" s="17">
        <v>139.99946163494457</v>
      </c>
      <c r="AF17" s="17">
        <v>133.33287537266369</v>
      </c>
      <c r="AG17" s="17">
        <v>126.66629412789584</v>
      </c>
      <c r="AH17" s="17">
        <v>119.99971696474066</v>
      </c>
      <c r="AI17" s="17">
        <v>113.33314290257903</v>
      </c>
      <c r="AJ17" s="17">
        <v>106.66657092681658</v>
      </c>
      <c r="AK17" s="17">
        <f t="shared" si="3"/>
        <v>100</v>
      </c>
      <c r="AL17" s="15">
        <f t="shared" si="4"/>
        <v>5.3333333333333337E-2</v>
      </c>
      <c r="AM17" s="11">
        <v>17</v>
      </c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</row>
    <row r="18" spans="1:138" ht="15.6" x14ac:dyDescent="0.3">
      <c r="A18" s="9"/>
      <c r="B18" s="9"/>
      <c r="E18" s="11">
        <v>16</v>
      </c>
      <c r="F18" s="15">
        <f t="shared" si="1"/>
        <v>0.05</v>
      </c>
      <c r="G18" s="17">
        <f t="shared" si="2"/>
        <v>300</v>
      </c>
      <c r="H18" s="17">
        <v>293.3332375934832</v>
      </c>
      <c r="I18" s="17">
        <v>286.66647623591223</v>
      </c>
      <c r="J18" s="17">
        <v>279.9997169647404</v>
      </c>
      <c r="K18" s="17">
        <v>273.3329607945621</v>
      </c>
      <c r="L18" s="17">
        <v>266.66620870599661</v>
      </c>
      <c r="M18" s="17">
        <v>259.99946163494405</v>
      </c>
      <c r="N18" s="17">
        <v>253.33272046233174</v>
      </c>
      <c r="O18" s="17">
        <v>246.66598600446233</v>
      </c>
      <c r="P18" s="17">
        <v>239.99925900407061</v>
      </c>
      <c r="Q18" s="17">
        <v>233.33254012218524</v>
      </c>
      <c r="R18" s="17">
        <v>226.6658299308873</v>
      </c>
      <c r="S18" s="17">
        <v>219.99912890704152</v>
      </c>
      <c r="T18" s="17">
        <v>213.33243742707253</v>
      </c>
      <c r="U18" s="17">
        <v>206.66575576284001</v>
      </c>
      <c r="V18" s="17">
        <v>199.99908407866047</v>
      </c>
      <c r="W18" s="17">
        <v>193.33242242950678</v>
      </c>
      <c r="X18" s="17">
        <v>186.66577076040602</v>
      </c>
      <c r="Y18" s="17">
        <v>179.99912890704172</v>
      </c>
      <c r="Z18" s="17">
        <v>173.33249659755413</v>
      </c>
      <c r="AA18" s="17">
        <v>166.66587345551883</v>
      </c>
      <c r="AB18" s="17">
        <v>159.99925900407092</v>
      </c>
      <c r="AC18" s="17">
        <v>153.33265267112949</v>
      </c>
      <c r="AD18" s="17">
        <v>146.66605379566556</v>
      </c>
      <c r="AE18" s="17">
        <v>139.99946163494454</v>
      </c>
      <c r="AF18" s="17">
        <v>133.33287537266369</v>
      </c>
      <c r="AG18" s="17">
        <v>126.66629412789582</v>
      </c>
      <c r="AH18" s="17">
        <v>119.99971696474066</v>
      </c>
      <c r="AI18" s="17">
        <v>113.33314290257901</v>
      </c>
      <c r="AJ18" s="17">
        <v>106.66657092681658</v>
      </c>
      <c r="AK18" s="17">
        <f t="shared" si="3"/>
        <v>100</v>
      </c>
      <c r="AL18" s="15">
        <f t="shared" si="4"/>
        <v>0.05</v>
      </c>
      <c r="AM18" s="11">
        <v>16</v>
      </c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</row>
    <row r="19" spans="1:138" ht="15.6" x14ac:dyDescent="0.3">
      <c r="A19" s="10"/>
      <c r="B19" s="10"/>
      <c r="E19" s="11">
        <v>15</v>
      </c>
      <c r="F19" s="15">
        <f t="shared" si="1"/>
        <v>4.6666666666666669E-2</v>
      </c>
      <c r="G19" s="17">
        <f t="shared" si="2"/>
        <v>300</v>
      </c>
      <c r="H19" s="17">
        <v>293.3332375934832</v>
      </c>
      <c r="I19" s="17">
        <v>286.66647623591223</v>
      </c>
      <c r="J19" s="17">
        <v>279.9997169647404</v>
      </c>
      <c r="K19" s="17">
        <v>273.3329607945621</v>
      </c>
      <c r="L19" s="17">
        <v>266.66620870599661</v>
      </c>
      <c r="M19" s="17">
        <v>259.99946163494405</v>
      </c>
      <c r="N19" s="17">
        <v>253.33272046233174</v>
      </c>
      <c r="O19" s="17">
        <v>246.66598600446233</v>
      </c>
      <c r="P19" s="17">
        <v>239.99925900407061</v>
      </c>
      <c r="Q19" s="17">
        <v>233.33254012218521</v>
      </c>
      <c r="R19" s="17">
        <v>226.66582993088724</v>
      </c>
      <c r="S19" s="17">
        <v>219.99912890704152</v>
      </c>
      <c r="T19" s="17">
        <v>213.33243742707253</v>
      </c>
      <c r="U19" s="17">
        <v>206.66575576284001</v>
      </c>
      <c r="V19" s="17">
        <v>199.99908407866047</v>
      </c>
      <c r="W19" s="17">
        <v>193.33242242950678</v>
      </c>
      <c r="X19" s="17">
        <v>186.66577076040602</v>
      </c>
      <c r="Y19" s="17">
        <v>179.99912890704169</v>
      </c>
      <c r="Z19" s="17">
        <v>173.3324965975541</v>
      </c>
      <c r="AA19" s="17">
        <v>166.66587345551883</v>
      </c>
      <c r="AB19" s="17">
        <v>159.99925900407092</v>
      </c>
      <c r="AC19" s="17">
        <v>153.33265267112949</v>
      </c>
      <c r="AD19" s="17">
        <v>146.66605379566556</v>
      </c>
      <c r="AE19" s="17">
        <v>139.99946163494451</v>
      </c>
      <c r="AF19" s="17">
        <v>133.33287537266369</v>
      </c>
      <c r="AG19" s="17">
        <v>126.66629412789581</v>
      </c>
      <c r="AH19" s="17">
        <v>119.99971696474066</v>
      </c>
      <c r="AI19" s="17">
        <v>113.33314290257903</v>
      </c>
      <c r="AJ19" s="17">
        <v>106.66657092681658</v>
      </c>
      <c r="AK19" s="17">
        <f t="shared" si="3"/>
        <v>100</v>
      </c>
      <c r="AL19" s="15">
        <f t="shared" si="4"/>
        <v>4.6666666666666669E-2</v>
      </c>
      <c r="AM19" s="11">
        <v>15</v>
      </c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</row>
    <row r="20" spans="1:138" ht="15.6" x14ac:dyDescent="0.3">
      <c r="A20" s="6" t="s">
        <v>20</v>
      </c>
      <c r="B20" s="6">
        <f>B13/(B5^2)</f>
        <v>4139999.9999999991</v>
      </c>
      <c r="E20" s="11">
        <v>14</v>
      </c>
      <c r="F20" s="15">
        <f t="shared" si="1"/>
        <v>4.3333333333333335E-2</v>
      </c>
      <c r="G20" s="17">
        <f t="shared" si="2"/>
        <v>300</v>
      </c>
      <c r="H20" s="17">
        <v>293.3332375934832</v>
      </c>
      <c r="I20" s="17">
        <v>286.66647623591223</v>
      </c>
      <c r="J20" s="17">
        <v>279.9997169647404</v>
      </c>
      <c r="K20" s="17">
        <v>273.3329607945621</v>
      </c>
      <c r="L20" s="17">
        <v>266.66620870599661</v>
      </c>
      <c r="M20" s="17">
        <v>259.99946163494405</v>
      </c>
      <c r="N20" s="17">
        <v>253.33272046233174</v>
      </c>
      <c r="O20" s="17">
        <v>246.66598600446235</v>
      </c>
      <c r="P20" s="17">
        <v>239.99925900407061</v>
      </c>
      <c r="Q20" s="17">
        <v>233.33254012218521</v>
      </c>
      <c r="R20" s="17">
        <v>226.66582993088724</v>
      </c>
      <c r="S20" s="17">
        <v>219.9991289070415</v>
      </c>
      <c r="T20" s="17">
        <v>213.33243742707253</v>
      </c>
      <c r="U20" s="17">
        <v>206.66575576284004</v>
      </c>
      <c r="V20" s="17">
        <v>199.99908407866047</v>
      </c>
      <c r="W20" s="17">
        <v>193.33242242950678</v>
      </c>
      <c r="X20" s="17">
        <v>186.66577076040599</v>
      </c>
      <c r="Y20" s="17">
        <v>179.99912890704167</v>
      </c>
      <c r="Z20" s="17">
        <v>173.3324965975541</v>
      </c>
      <c r="AA20" s="17">
        <v>166.66587345551881</v>
      </c>
      <c r="AB20" s="17">
        <v>159.99925900407092</v>
      </c>
      <c r="AC20" s="17">
        <v>153.33265267112949</v>
      </c>
      <c r="AD20" s="17">
        <v>146.66605379566556</v>
      </c>
      <c r="AE20" s="17">
        <v>139.99946163494451</v>
      </c>
      <c r="AF20" s="17">
        <v>133.33287537266369</v>
      </c>
      <c r="AG20" s="17">
        <v>126.66629412789581</v>
      </c>
      <c r="AH20" s="17">
        <v>119.99971696474064</v>
      </c>
      <c r="AI20" s="17">
        <v>113.33314290257903</v>
      </c>
      <c r="AJ20" s="17">
        <v>106.66657092681658</v>
      </c>
      <c r="AK20" s="17">
        <f t="shared" si="3"/>
        <v>100</v>
      </c>
      <c r="AL20" s="15">
        <f t="shared" si="4"/>
        <v>4.3333333333333335E-2</v>
      </c>
      <c r="AM20" s="11">
        <v>14</v>
      </c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</row>
    <row r="21" spans="1:138" ht="15.6" x14ac:dyDescent="0.3">
      <c r="A21" s="6" t="s">
        <v>21</v>
      </c>
      <c r="B21" s="6">
        <f>(2*B13)/(B5^2)+(B12*B11)/B8</f>
        <v>10073999.999999998</v>
      </c>
      <c r="E21" s="11">
        <v>13</v>
      </c>
      <c r="F21" s="15">
        <f t="shared" si="1"/>
        <v>0.04</v>
      </c>
      <c r="G21" s="17">
        <f t="shared" si="2"/>
        <v>300</v>
      </c>
      <c r="H21" s="17">
        <v>293.33323759348315</v>
      </c>
      <c r="I21" s="17">
        <v>286.66647623591217</v>
      </c>
      <c r="J21" s="17">
        <v>279.99971696474034</v>
      </c>
      <c r="K21" s="17">
        <v>273.33296079456204</v>
      </c>
      <c r="L21" s="17">
        <v>266.66620870599661</v>
      </c>
      <c r="M21" s="17">
        <v>259.99946163494405</v>
      </c>
      <c r="N21" s="17">
        <v>253.33272046233174</v>
      </c>
      <c r="O21" s="17">
        <v>246.66598600446233</v>
      </c>
      <c r="P21" s="17">
        <v>239.99925900407061</v>
      </c>
      <c r="Q21" s="17">
        <v>233.33254012218521</v>
      </c>
      <c r="R21" s="17">
        <v>226.66582993088724</v>
      </c>
      <c r="S21" s="17">
        <v>219.9991289070415</v>
      </c>
      <c r="T21" s="17">
        <v>213.33243742707253</v>
      </c>
      <c r="U21" s="17">
        <v>206.66575576284004</v>
      </c>
      <c r="V21" s="17">
        <v>199.99908407866045</v>
      </c>
      <c r="W21" s="17">
        <v>193.33242242950675</v>
      </c>
      <c r="X21" s="17">
        <v>186.66577076040599</v>
      </c>
      <c r="Y21" s="17">
        <v>179.99912890704167</v>
      </c>
      <c r="Z21" s="17">
        <v>173.3324965975541</v>
      </c>
      <c r="AA21" s="17">
        <v>166.66587345551881</v>
      </c>
      <c r="AB21" s="17">
        <v>159.99925900407092</v>
      </c>
      <c r="AC21" s="17">
        <v>153.33265267112949</v>
      </c>
      <c r="AD21" s="17">
        <v>146.66605379566556</v>
      </c>
      <c r="AE21" s="17">
        <v>139.99946163494451</v>
      </c>
      <c r="AF21" s="17">
        <v>133.33287537266369</v>
      </c>
      <c r="AG21" s="17">
        <v>126.66629412789581</v>
      </c>
      <c r="AH21" s="17">
        <v>119.99971696474064</v>
      </c>
      <c r="AI21" s="17">
        <v>113.33314290257903</v>
      </c>
      <c r="AJ21" s="17">
        <v>106.66657092681658</v>
      </c>
      <c r="AK21" s="17">
        <f t="shared" si="3"/>
        <v>100</v>
      </c>
      <c r="AL21" s="15">
        <f t="shared" si="4"/>
        <v>0.04</v>
      </c>
      <c r="AM21" s="11">
        <v>13</v>
      </c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</row>
    <row r="22" spans="1:138" ht="15.6" x14ac:dyDescent="0.3">
      <c r="A22" s="6" t="s">
        <v>22</v>
      </c>
      <c r="B22" s="6">
        <f>B20</f>
        <v>4139999.9999999991</v>
      </c>
      <c r="C22" s="1"/>
      <c r="D22" s="2"/>
      <c r="E22" s="11">
        <v>12</v>
      </c>
      <c r="F22" s="15">
        <f t="shared" si="1"/>
        <v>3.6666666666666667E-2</v>
      </c>
      <c r="G22" s="17">
        <f t="shared" si="2"/>
        <v>300</v>
      </c>
      <c r="H22" s="17">
        <v>293.33323759348309</v>
      </c>
      <c r="I22" s="17">
        <v>286.66647623591211</v>
      </c>
      <c r="J22" s="17">
        <v>279.99971696474029</v>
      </c>
      <c r="K22" s="17">
        <v>273.33296079456204</v>
      </c>
      <c r="L22" s="17">
        <v>266.66620870599661</v>
      </c>
      <c r="M22" s="17">
        <v>259.99946163494405</v>
      </c>
      <c r="N22" s="17">
        <v>253.33272046233174</v>
      </c>
      <c r="O22" s="17">
        <v>246.6659860044623</v>
      </c>
      <c r="P22" s="17">
        <v>239.99925900407061</v>
      </c>
      <c r="Q22" s="17">
        <v>233.33254012218521</v>
      </c>
      <c r="R22" s="17">
        <v>226.66582993088724</v>
      </c>
      <c r="S22" s="17">
        <v>219.9991289070415</v>
      </c>
      <c r="T22" s="17">
        <v>213.33243742707253</v>
      </c>
      <c r="U22" s="17">
        <v>206.66575576284004</v>
      </c>
      <c r="V22" s="17">
        <v>199.99908407866045</v>
      </c>
      <c r="W22" s="17">
        <v>193.33242242950678</v>
      </c>
      <c r="X22" s="17">
        <v>186.66577076040602</v>
      </c>
      <c r="Y22" s="17">
        <v>179.99912890704167</v>
      </c>
      <c r="Z22" s="17">
        <v>173.33249659755413</v>
      </c>
      <c r="AA22" s="17">
        <v>166.66587345551881</v>
      </c>
      <c r="AB22" s="17">
        <v>159.99925900407092</v>
      </c>
      <c r="AC22" s="17">
        <v>153.33265267112949</v>
      </c>
      <c r="AD22" s="17">
        <v>146.66605379566556</v>
      </c>
      <c r="AE22" s="17">
        <v>139.99946163494451</v>
      </c>
      <c r="AF22" s="17">
        <v>133.33287537266369</v>
      </c>
      <c r="AG22" s="17">
        <v>126.66629412789582</v>
      </c>
      <c r="AH22" s="17">
        <v>119.99971696474064</v>
      </c>
      <c r="AI22" s="17">
        <v>113.33314290257903</v>
      </c>
      <c r="AJ22" s="17">
        <v>106.66657092681658</v>
      </c>
      <c r="AK22" s="17">
        <f t="shared" si="3"/>
        <v>100</v>
      </c>
      <c r="AL22" s="15">
        <f t="shared" si="4"/>
        <v>3.6666666666666667E-2</v>
      </c>
      <c r="AM22" s="11">
        <v>12</v>
      </c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</row>
    <row r="23" spans="1:138" ht="15.6" x14ac:dyDescent="0.3">
      <c r="A23" s="9"/>
      <c r="B23" s="9"/>
      <c r="E23" s="11">
        <v>11</v>
      </c>
      <c r="F23" s="15">
        <f t="shared" si="1"/>
        <v>3.3333333333333333E-2</v>
      </c>
      <c r="G23" s="17">
        <f t="shared" si="2"/>
        <v>300</v>
      </c>
      <c r="H23" s="17">
        <v>293.33323759348309</v>
      </c>
      <c r="I23" s="17">
        <v>286.66647623591211</v>
      </c>
      <c r="J23" s="17">
        <v>279.99971696474029</v>
      </c>
      <c r="K23" s="17">
        <v>273.3329607945621</v>
      </c>
      <c r="L23" s="17">
        <v>266.66620870599661</v>
      </c>
      <c r="M23" s="17">
        <v>259.99946163494405</v>
      </c>
      <c r="N23" s="17">
        <v>253.33272046233179</v>
      </c>
      <c r="O23" s="17">
        <v>246.66598600446235</v>
      </c>
      <c r="P23" s="17">
        <v>239.99925900407067</v>
      </c>
      <c r="Q23" s="17">
        <v>233.33254012218529</v>
      </c>
      <c r="R23" s="17">
        <v>226.6658299308873</v>
      </c>
      <c r="S23" s="17">
        <v>219.99912890704155</v>
      </c>
      <c r="T23" s="17">
        <v>213.33243742707259</v>
      </c>
      <c r="U23" s="17">
        <v>206.66575576284009</v>
      </c>
      <c r="V23" s="17">
        <v>199.99908407866047</v>
      </c>
      <c r="W23" s="17">
        <v>193.33242242950681</v>
      </c>
      <c r="X23" s="17">
        <v>186.66577076040608</v>
      </c>
      <c r="Y23" s="17">
        <v>179.99912890704172</v>
      </c>
      <c r="Z23" s="17">
        <v>173.33249659755418</v>
      </c>
      <c r="AA23" s="17">
        <v>166.66587345551886</v>
      </c>
      <c r="AB23" s="17">
        <v>159.99925900407095</v>
      </c>
      <c r="AC23" s="17">
        <v>153.33265267112952</v>
      </c>
      <c r="AD23" s="17">
        <v>146.66605379566556</v>
      </c>
      <c r="AE23" s="17">
        <v>139.99946163494454</v>
      </c>
      <c r="AF23" s="17">
        <v>133.33287537266372</v>
      </c>
      <c r="AG23" s="17">
        <v>126.66629412789584</v>
      </c>
      <c r="AH23" s="17">
        <v>119.99971696474066</v>
      </c>
      <c r="AI23" s="17">
        <v>113.33314290257906</v>
      </c>
      <c r="AJ23" s="17">
        <v>106.66657092681659</v>
      </c>
      <c r="AK23" s="17">
        <f t="shared" si="3"/>
        <v>100</v>
      </c>
      <c r="AL23" s="15">
        <f t="shared" si="4"/>
        <v>3.3333333333333333E-2</v>
      </c>
      <c r="AM23" s="11">
        <v>11</v>
      </c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</row>
    <row r="24" spans="1:138" ht="15.6" x14ac:dyDescent="0.3">
      <c r="A24" s="10"/>
      <c r="B24" s="10"/>
      <c r="E24" s="11">
        <v>10</v>
      </c>
      <c r="F24" s="15">
        <f t="shared" si="1"/>
        <v>3.0000000000000002E-2</v>
      </c>
      <c r="G24" s="17">
        <f t="shared" si="2"/>
        <v>300</v>
      </c>
      <c r="H24" s="17">
        <v>293.3332375934832</v>
      </c>
      <c r="I24" s="17">
        <v>286.66647623591223</v>
      </c>
      <c r="J24" s="17">
        <v>279.9997169647404</v>
      </c>
      <c r="K24" s="17">
        <v>273.33296079456215</v>
      </c>
      <c r="L24" s="17">
        <v>266.66620870599667</v>
      </c>
      <c r="M24" s="17">
        <v>259.99946163494411</v>
      </c>
      <c r="N24" s="17">
        <v>253.33272046233185</v>
      </c>
      <c r="O24" s="17">
        <v>246.66598600446247</v>
      </c>
      <c r="P24" s="17">
        <v>239.99925900407072</v>
      </c>
      <c r="Q24" s="17">
        <v>233.33254012218538</v>
      </c>
      <c r="R24" s="17">
        <v>226.66582993088736</v>
      </c>
      <c r="S24" s="17">
        <v>219.99912890704161</v>
      </c>
      <c r="T24" s="17">
        <v>213.33243742707265</v>
      </c>
      <c r="U24" s="17">
        <v>206.66575576284015</v>
      </c>
      <c r="V24" s="17">
        <v>199.99908407866056</v>
      </c>
      <c r="W24" s="17">
        <v>193.33242242950686</v>
      </c>
      <c r="X24" s="17">
        <v>186.66577076040613</v>
      </c>
      <c r="Y24" s="17">
        <v>179.99912890704178</v>
      </c>
      <c r="Z24" s="17">
        <v>173.33249659755427</v>
      </c>
      <c r="AA24" s="17">
        <v>166.66587345551892</v>
      </c>
      <c r="AB24" s="17">
        <v>159.99925900407101</v>
      </c>
      <c r="AC24" s="17">
        <v>153.33265267112955</v>
      </c>
      <c r="AD24" s="17">
        <v>146.66605379566562</v>
      </c>
      <c r="AE24" s="17">
        <v>139.99946163494459</v>
      </c>
      <c r="AF24" s="17">
        <v>133.33287537266375</v>
      </c>
      <c r="AG24" s="17">
        <v>126.66629412789587</v>
      </c>
      <c r="AH24" s="17">
        <v>119.99971696474068</v>
      </c>
      <c r="AI24" s="17">
        <v>113.33314290257908</v>
      </c>
      <c r="AJ24" s="17">
        <v>106.6665709268166</v>
      </c>
      <c r="AK24" s="17">
        <f t="shared" si="3"/>
        <v>100</v>
      </c>
      <c r="AL24" s="15">
        <f t="shared" si="4"/>
        <v>3.0000000000000002E-2</v>
      </c>
      <c r="AM24" s="11">
        <v>10</v>
      </c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</row>
    <row r="25" spans="1:138" ht="15.6" x14ac:dyDescent="0.3">
      <c r="A25" s="6" t="s">
        <v>23</v>
      </c>
      <c r="B25" s="6">
        <f>B13/(B6^2)</f>
        <v>4139999.9999999991</v>
      </c>
      <c r="E25" s="11">
        <v>9</v>
      </c>
      <c r="F25" s="15">
        <f t="shared" si="1"/>
        <v>2.6666666666666668E-2</v>
      </c>
      <c r="G25" s="17">
        <f t="shared" si="2"/>
        <v>300</v>
      </c>
      <c r="H25" s="17">
        <v>293.3332375934832</v>
      </c>
      <c r="I25" s="17">
        <v>286.66647623591223</v>
      </c>
      <c r="J25" s="17">
        <v>279.9997169647404</v>
      </c>
      <c r="K25" s="17">
        <v>273.33296079456221</v>
      </c>
      <c r="L25" s="17">
        <v>266.66620870599672</v>
      </c>
      <c r="M25" s="17">
        <v>259.99946163494417</v>
      </c>
      <c r="N25" s="17">
        <v>253.33272046233191</v>
      </c>
      <c r="O25" s="17">
        <v>246.66598600446252</v>
      </c>
      <c r="P25" s="17">
        <v>239.99925900407078</v>
      </c>
      <c r="Q25" s="17">
        <v>233.33254012218543</v>
      </c>
      <c r="R25" s="17">
        <v>226.66582993088741</v>
      </c>
      <c r="S25" s="17">
        <v>219.99912890704167</v>
      </c>
      <c r="T25" s="17">
        <v>213.3324374270727</v>
      </c>
      <c r="U25" s="17">
        <v>206.66575576284015</v>
      </c>
      <c r="V25" s="17">
        <v>199.99908407866062</v>
      </c>
      <c r="W25" s="17">
        <v>193.33242242950689</v>
      </c>
      <c r="X25" s="17">
        <v>186.66577076040613</v>
      </c>
      <c r="Y25" s="17">
        <v>179.99912890704181</v>
      </c>
      <c r="Z25" s="17">
        <v>173.3324965975543</v>
      </c>
      <c r="AA25" s="17">
        <v>166.66587345551895</v>
      </c>
      <c r="AB25" s="17">
        <v>159.99925900407104</v>
      </c>
      <c r="AC25" s="17">
        <v>153.33265267112961</v>
      </c>
      <c r="AD25" s="17">
        <v>146.66605379566565</v>
      </c>
      <c r="AE25" s="17">
        <v>139.99946163494462</v>
      </c>
      <c r="AF25" s="17">
        <v>133.33287537266378</v>
      </c>
      <c r="AG25" s="17">
        <v>126.6662941278959</v>
      </c>
      <c r="AH25" s="17">
        <v>119.99971696474071</v>
      </c>
      <c r="AI25" s="17">
        <v>113.33314290257908</v>
      </c>
      <c r="AJ25" s="17">
        <v>106.66657092681662</v>
      </c>
      <c r="AK25" s="17">
        <f t="shared" si="3"/>
        <v>100</v>
      </c>
      <c r="AL25" s="15">
        <f t="shared" si="4"/>
        <v>2.6666666666666668E-2</v>
      </c>
      <c r="AM25" s="11">
        <v>9</v>
      </c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</row>
    <row r="26" spans="1:138" ht="15.6" x14ac:dyDescent="0.3">
      <c r="A26" s="6" t="s">
        <v>24</v>
      </c>
      <c r="B26" s="6">
        <f>(2*B13)/(B6^2)+(B12*B11)/B8</f>
        <v>10073999.999999998</v>
      </c>
      <c r="E26" s="11">
        <v>8</v>
      </c>
      <c r="F26" s="15">
        <f t="shared" si="1"/>
        <v>2.3333333333333334E-2</v>
      </c>
      <c r="G26" s="17">
        <f t="shared" si="2"/>
        <v>300</v>
      </c>
      <c r="H26" s="17">
        <v>293.3332375934832</v>
      </c>
      <c r="I26" s="17">
        <v>286.66647623591223</v>
      </c>
      <c r="J26" s="17">
        <v>279.9997169647404</v>
      </c>
      <c r="K26" s="17">
        <v>273.33296079456227</v>
      </c>
      <c r="L26" s="17">
        <v>266.66620870599678</v>
      </c>
      <c r="M26" s="17">
        <v>259.99946163494423</v>
      </c>
      <c r="N26" s="17">
        <v>253.33272046233196</v>
      </c>
      <c r="O26" s="17">
        <v>246.66598600446258</v>
      </c>
      <c r="P26" s="17">
        <v>239.99925900407084</v>
      </c>
      <c r="Q26" s="17">
        <v>233.33254012218546</v>
      </c>
      <c r="R26" s="17">
        <v>226.66582993088744</v>
      </c>
      <c r="S26" s="17">
        <v>219.99912890704172</v>
      </c>
      <c r="T26" s="17">
        <v>213.3324374270727</v>
      </c>
      <c r="U26" s="17">
        <v>206.66575576284021</v>
      </c>
      <c r="V26" s="17">
        <v>199.99908407866064</v>
      </c>
      <c r="W26" s="17">
        <v>193.33242242950692</v>
      </c>
      <c r="X26" s="17">
        <v>186.66577076040619</v>
      </c>
      <c r="Y26" s="17">
        <v>179.99912890704184</v>
      </c>
      <c r="Z26" s="17">
        <v>173.33249659755433</v>
      </c>
      <c r="AA26" s="17">
        <v>166.66587345551898</v>
      </c>
      <c r="AB26" s="17">
        <v>159.99925900407106</v>
      </c>
      <c r="AC26" s="17">
        <v>153.33265267112961</v>
      </c>
      <c r="AD26" s="17">
        <v>146.66605379566568</v>
      </c>
      <c r="AE26" s="17">
        <v>139.99946163494462</v>
      </c>
      <c r="AF26" s="17">
        <v>133.33287537266381</v>
      </c>
      <c r="AG26" s="17">
        <v>126.66629412789591</v>
      </c>
      <c r="AH26" s="17">
        <v>119.99971696474071</v>
      </c>
      <c r="AI26" s="17">
        <v>113.33314290257908</v>
      </c>
      <c r="AJ26" s="17">
        <v>106.66657092681663</v>
      </c>
      <c r="AK26" s="17">
        <f t="shared" si="3"/>
        <v>100</v>
      </c>
      <c r="AL26" s="15">
        <f t="shared" si="4"/>
        <v>2.3333333333333334E-2</v>
      </c>
      <c r="AM26" s="11">
        <v>8</v>
      </c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</row>
    <row r="27" spans="1:138" ht="15.6" x14ac:dyDescent="0.3">
      <c r="A27" s="6" t="s">
        <v>25</v>
      </c>
      <c r="B27" s="6">
        <f>B25</f>
        <v>4139999.9999999991</v>
      </c>
      <c r="E27" s="11">
        <v>7</v>
      </c>
      <c r="F27" s="15">
        <f t="shared" si="1"/>
        <v>0.02</v>
      </c>
      <c r="G27" s="17">
        <f t="shared" si="2"/>
        <v>300</v>
      </c>
      <c r="H27" s="17">
        <v>293.33323759348326</v>
      </c>
      <c r="I27" s="17">
        <v>286.66647623591234</v>
      </c>
      <c r="J27" s="17">
        <v>279.99971696474051</v>
      </c>
      <c r="K27" s="17">
        <v>273.33296079456233</v>
      </c>
      <c r="L27" s="17">
        <v>266.66620870599684</v>
      </c>
      <c r="M27" s="17">
        <v>259.99946163494428</v>
      </c>
      <c r="N27" s="17">
        <v>253.33272046233205</v>
      </c>
      <c r="O27" s="17">
        <v>246.66598600446264</v>
      </c>
      <c r="P27" s="17">
        <v>239.99925900407089</v>
      </c>
      <c r="Q27" s="17">
        <v>233.33254012218549</v>
      </c>
      <c r="R27" s="17">
        <v>226.66582993088747</v>
      </c>
      <c r="S27" s="17">
        <v>219.99912890704178</v>
      </c>
      <c r="T27" s="17">
        <v>213.33243742707276</v>
      </c>
      <c r="U27" s="17">
        <v>206.66575576284026</v>
      </c>
      <c r="V27" s="17">
        <v>199.9990840786607</v>
      </c>
      <c r="W27" s="17">
        <v>193.33242242950695</v>
      </c>
      <c r="X27" s="17">
        <v>186.66577076040625</v>
      </c>
      <c r="Y27" s="17">
        <v>179.99912890704189</v>
      </c>
      <c r="Z27" s="17">
        <v>173.33249659755435</v>
      </c>
      <c r="AA27" s="17">
        <v>166.66587345551903</v>
      </c>
      <c r="AB27" s="17">
        <v>159.99925900407112</v>
      </c>
      <c r="AC27" s="17">
        <v>153.33265267112967</v>
      </c>
      <c r="AD27" s="17">
        <v>146.6660537956657</v>
      </c>
      <c r="AE27" s="17">
        <v>139.99946163494468</v>
      </c>
      <c r="AF27" s="17">
        <v>133.33287537266381</v>
      </c>
      <c r="AG27" s="17">
        <v>126.66629412789594</v>
      </c>
      <c r="AH27" s="17">
        <v>119.99971696474074</v>
      </c>
      <c r="AI27" s="17">
        <v>113.33314290257911</v>
      </c>
      <c r="AJ27" s="17">
        <v>106.66657092681666</v>
      </c>
      <c r="AK27" s="17">
        <f t="shared" si="3"/>
        <v>100</v>
      </c>
      <c r="AL27" s="15">
        <f t="shared" si="4"/>
        <v>0.02</v>
      </c>
      <c r="AM27" s="11">
        <v>7</v>
      </c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</row>
    <row r="28" spans="1:138" ht="15.6" x14ac:dyDescent="0.3">
      <c r="A28" s="6"/>
      <c r="B28" s="6"/>
      <c r="E28" s="11">
        <v>6</v>
      </c>
      <c r="F28" s="15">
        <f t="shared" si="1"/>
        <v>1.6666666666666666E-2</v>
      </c>
      <c r="G28" s="17">
        <f t="shared" si="2"/>
        <v>300</v>
      </c>
      <c r="H28" s="17">
        <v>293.33323759348332</v>
      </c>
      <c r="I28" s="17">
        <v>286.66647623591234</v>
      </c>
      <c r="J28" s="17">
        <v>279.99971696474051</v>
      </c>
      <c r="K28" s="17">
        <v>273.33296079456233</v>
      </c>
      <c r="L28" s="17">
        <v>266.66620870599684</v>
      </c>
      <c r="M28" s="17">
        <v>259.99946163494428</v>
      </c>
      <c r="N28" s="17">
        <v>253.33272046233205</v>
      </c>
      <c r="O28" s="17">
        <v>246.66598600446264</v>
      </c>
      <c r="P28" s="17">
        <v>239.99925900407089</v>
      </c>
      <c r="Q28" s="17">
        <v>233.33254012218549</v>
      </c>
      <c r="R28" s="17">
        <v>226.66582993088747</v>
      </c>
      <c r="S28" s="17">
        <v>219.99912890704178</v>
      </c>
      <c r="T28" s="17">
        <v>213.33243742707276</v>
      </c>
      <c r="U28" s="17">
        <v>206.66575576284026</v>
      </c>
      <c r="V28" s="17">
        <v>199.99908407866076</v>
      </c>
      <c r="W28" s="17">
        <v>193.33242242950695</v>
      </c>
      <c r="X28" s="17">
        <v>186.66577076040625</v>
      </c>
      <c r="Y28" s="17">
        <v>179.99912890704189</v>
      </c>
      <c r="Z28" s="17">
        <v>173.33249659755435</v>
      </c>
      <c r="AA28" s="17">
        <v>166.66587345551903</v>
      </c>
      <c r="AB28" s="17">
        <v>159.99925900407112</v>
      </c>
      <c r="AC28" s="17">
        <v>153.33265267112969</v>
      </c>
      <c r="AD28" s="17">
        <v>146.66605379566573</v>
      </c>
      <c r="AE28" s="17">
        <v>139.99946163494468</v>
      </c>
      <c r="AF28" s="17">
        <v>133.33287537266381</v>
      </c>
      <c r="AG28" s="17">
        <v>126.66629412789592</v>
      </c>
      <c r="AH28" s="17">
        <v>119.99971696474076</v>
      </c>
      <c r="AI28" s="17">
        <v>113.33314290257911</v>
      </c>
      <c r="AJ28" s="17">
        <v>106.66657092681666</v>
      </c>
      <c r="AK28" s="17">
        <f t="shared" si="3"/>
        <v>100</v>
      </c>
      <c r="AL28" s="15">
        <f t="shared" si="4"/>
        <v>1.6666666666666666E-2</v>
      </c>
      <c r="AM28" s="11">
        <v>6</v>
      </c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</row>
    <row r="29" spans="1:138" ht="15.6" x14ac:dyDescent="0.3">
      <c r="E29" s="11">
        <v>5</v>
      </c>
      <c r="F29" s="15">
        <f t="shared" si="1"/>
        <v>1.3333333333333334E-2</v>
      </c>
      <c r="G29" s="17">
        <f t="shared" si="2"/>
        <v>300</v>
      </c>
      <c r="H29" s="17">
        <v>293.33323759348332</v>
      </c>
      <c r="I29" s="17">
        <v>286.66647623591234</v>
      </c>
      <c r="J29" s="17">
        <v>279.99971696474051</v>
      </c>
      <c r="K29" s="17">
        <v>273.33296079456233</v>
      </c>
      <c r="L29" s="17">
        <v>266.66620870599678</v>
      </c>
      <c r="M29" s="17">
        <v>259.99946163494428</v>
      </c>
      <c r="N29" s="17">
        <v>253.33272046233202</v>
      </c>
      <c r="O29" s="17">
        <v>246.66598600446264</v>
      </c>
      <c r="P29" s="17">
        <v>239.99925900407084</v>
      </c>
      <c r="Q29" s="17">
        <v>233.33254012218546</v>
      </c>
      <c r="R29" s="17">
        <v>226.66582993088747</v>
      </c>
      <c r="S29" s="17">
        <v>219.99912890704178</v>
      </c>
      <c r="T29" s="17">
        <v>213.33243742707276</v>
      </c>
      <c r="U29" s="17">
        <v>206.66575576284026</v>
      </c>
      <c r="V29" s="17">
        <v>199.99908407866076</v>
      </c>
      <c r="W29" s="17">
        <v>193.33242242950695</v>
      </c>
      <c r="X29" s="17">
        <v>186.66577076040625</v>
      </c>
      <c r="Y29" s="17">
        <v>179.99912890704189</v>
      </c>
      <c r="Z29" s="17">
        <v>173.33249659755433</v>
      </c>
      <c r="AA29" s="17">
        <v>166.66587345551903</v>
      </c>
      <c r="AB29" s="17">
        <v>159.99925900407112</v>
      </c>
      <c r="AC29" s="17">
        <v>153.33265267112969</v>
      </c>
      <c r="AD29" s="17">
        <v>146.6660537956657</v>
      </c>
      <c r="AE29" s="17">
        <v>139.99946163494468</v>
      </c>
      <c r="AF29" s="17">
        <v>133.33287537266381</v>
      </c>
      <c r="AG29" s="17">
        <v>126.66629412789592</v>
      </c>
      <c r="AH29" s="17">
        <v>119.99971696474074</v>
      </c>
      <c r="AI29" s="17">
        <v>113.33314290257911</v>
      </c>
      <c r="AJ29" s="17">
        <v>106.66657092681666</v>
      </c>
      <c r="AK29" s="17">
        <f t="shared" si="3"/>
        <v>100</v>
      </c>
      <c r="AL29" s="15">
        <f t="shared" si="4"/>
        <v>1.3333333333333334E-2</v>
      </c>
      <c r="AM29" s="11">
        <v>5</v>
      </c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</row>
    <row r="30" spans="1:138" ht="15.6" x14ac:dyDescent="0.3">
      <c r="E30" s="11">
        <v>4</v>
      </c>
      <c r="F30" s="15">
        <f t="shared" si="1"/>
        <v>0.01</v>
      </c>
      <c r="G30" s="17">
        <f t="shared" si="2"/>
        <v>300</v>
      </c>
      <c r="H30" s="17">
        <v>293.33323759348332</v>
      </c>
      <c r="I30" s="17">
        <v>286.66647623591234</v>
      </c>
      <c r="J30" s="17">
        <v>279.99971696474051</v>
      </c>
      <c r="K30" s="17">
        <v>273.33296079456233</v>
      </c>
      <c r="L30" s="17">
        <v>266.66620870599678</v>
      </c>
      <c r="M30" s="17">
        <v>259.99946163494423</v>
      </c>
      <c r="N30" s="17">
        <v>253.33272046233196</v>
      </c>
      <c r="O30" s="17">
        <v>246.66598600446258</v>
      </c>
      <c r="P30" s="17">
        <v>239.99925900407081</v>
      </c>
      <c r="Q30" s="17">
        <v>233.33254012218543</v>
      </c>
      <c r="R30" s="17">
        <v>226.66582993088747</v>
      </c>
      <c r="S30" s="17">
        <v>219.99912890704178</v>
      </c>
      <c r="T30" s="17">
        <v>213.33243742707276</v>
      </c>
      <c r="U30" s="17">
        <v>206.66575576284026</v>
      </c>
      <c r="V30" s="17">
        <v>199.99908407866076</v>
      </c>
      <c r="W30" s="17">
        <v>193.33242242950695</v>
      </c>
      <c r="X30" s="17">
        <v>186.66577076040625</v>
      </c>
      <c r="Y30" s="17">
        <v>179.99912890704189</v>
      </c>
      <c r="Z30" s="17">
        <v>173.33249659755433</v>
      </c>
      <c r="AA30" s="17">
        <v>166.66587345551903</v>
      </c>
      <c r="AB30" s="17">
        <v>159.99925900407112</v>
      </c>
      <c r="AC30" s="17">
        <v>153.33265267112967</v>
      </c>
      <c r="AD30" s="17">
        <v>146.66605379566568</v>
      </c>
      <c r="AE30" s="17">
        <v>139.99946163494465</v>
      </c>
      <c r="AF30" s="17">
        <v>133.33287537266381</v>
      </c>
      <c r="AG30" s="17">
        <v>126.66629412789592</v>
      </c>
      <c r="AH30" s="17">
        <v>119.99971696474074</v>
      </c>
      <c r="AI30" s="17">
        <v>113.33314290257911</v>
      </c>
      <c r="AJ30" s="17">
        <v>106.66657092681666</v>
      </c>
      <c r="AK30" s="17">
        <f t="shared" si="3"/>
        <v>100</v>
      </c>
      <c r="AL30" s="15">
        <f t="shared" si="4"/>
        <v>0.01</v>
      </c>
      <c r="AM30" s="11">
        <v>4</v>
      </c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</row>
    <row r="31" spans="1:138" ht="15.6" x14ac:dyDescent="0.3">
      <c r="E31" s="11">
        <v>3</v>
      </c>
      <c r="F31" s="15">
        <f t="shared" si="1"/>
        <v>6.6666666666666671E-3</v>
      </c>
      <c r="G31" s="17">
        <f t="shared" si="2"/>
        <v>300</v>
      </c>
      <c r="H31" s="17">
        <v>293.33323759348326</v>
      </c>
      <c r="I31" s="17">
        <v>286.66647623591234</v>
      </c>
      <c r="J31" s="17">
        <v>279.99971696474051</v>
      </c>
      <c r="K31" s="17">
        <v>273.33296079456233</v>
      </c>
      <c r="L31" s="17">
        <v>266.66620870599672</v>
      </c>
      <c r="M31" s="17">
        <v>259.99946163494423</v>
      </c>
      <c r="N31" s="17">
        <v>253.33272046233196</v>
      </c>
      <c r="O31" s="17">
        <v>246.66598600446258</v>
      </c>
      <c r="P31" s="17">
        <v>239.99925900407078</v>
      </c>
      <c r="Q31" s="17">
        <v>233.33254012218543</v>
      </c>
      <c r="R31" s="17">
        <v>226.66582993088747</v>
      </c>
      <c r="S31" s="17">
        <v>219.99912890704178</v>
      </c>
      <c r="T31" s="17">
        <v>213.33243742707276</v>
      </c>
      <c r="U31" s="17">
        <v>206.66575576284026</v>
      </c>
      <c r="V31" s="17">
        <v>199.99908407866076</v>
      </c>
      <c r="W31" s="17">
        <v>193.33242242950695</v>
      </c>
      <c r="X31" s="17">
        <v>186.66577076040625</v>
      </c>
      <c r="Y31" s="17">
        <v>179.99912890704189</v>
      </c>
      <c r="Z31" s="17">
        <v>173.33249659755433</v>
      </c>
      <c r="AA31" s="17">
        <v>166.66587345551903</v>
      </c>
      <c r="AB31" s="17">
        <v>159.99925900407112</v>
      </c>
      <c r="AC31" s="17">
        <v>153.33265267112967</v>
      </c>
      <c r="AD31" s="17">
        <v>146.66605379566568</v>
      </c>
      <c r="AE31" s="17">
        <v>139.99946163494465</v>
      </c>
      <c r="AF31" s="17">
        <v>133.33287537266381</v>
      </c>
      <c r="AG31" s="17">
        <v>126.66629412789592</v>
      </c>
      <c r="AH31" s="17">
        <v>119.99971696474074</v>
      </c>
      <c r="AI31" s="17">
        <v>113.3331429025791</v>
      </c>
      <c r="AJ31" s="17">
        <v>106.66657092681666</v>
      </c>
      <c r="AK31" s="17">
        <f t="shared" si="3"/>
        <v>100</v>
      </c>
      <c r="AL31" s="15">
        <f t="shared" si="4"/>
        <v>6.6666666666666671E-3</v>
      </c>
      <c r="AM31" s="11">
        <v>3</v>
      </c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</row>
    <row r="32" spans="1:138" ht="15.6" x14ac:dyDescent="0.3">
      <c r="E32" s="11">
        <v>2</v>
      </c>
      <c r="F32" s="15">
        <f>$B$6*(E32-1)</f>
        <v>3.3333333333333335E-3</v>
      </c>
      <c r="G32" s="17">
        <f t="shared" si="2"/>
        <v>300</v>
      </c>
      <c r="H32" s="17">
        <v>293.3332375934832</v>
      </c>
      <c r="I32" s="17">
        <v>286.66647623591228</v>
      </c>
      <c r="J32" s="17">
        <v>279.99971696474046</v>
      </c>
      <c r="K32" s="17">
        <v>273.33296079456233</v>
      </c>
      <c r="L32" s="17">
        <v>266.66620870599672</v>
      </c>
      <c r="M32" s="17">
        <v>259.99946163494417</v>
      </c>
      <c r="N32" s="17">
        <v>253.33272046233191</v>
      </c>
      <c r="O32" s="17">
        <v>246.66598600446255</v>
      </c>
      <c r="P32" s="17">
        <v>239.99925900407075</v>
      </c>
      <c r="Q32" s="17">
        <v>233.33254012218543</v>
      </c>
      <c r="R32" s="17">
        <v>226.66582993088741</v>
      </c>
      <c r="S32" s="17">
        <v>219.99912890704175</v>
      </c>
      <c r="T32" s="17">
        <v>213.33243742707273</v>
      </c>
      <c r="U32" s="17">
        <v>206.66575576284023</v>
      </c>
      <c r="V32" s="17">
        <v>199.9990840786607</v>
      </c>
      <c r="W32" s="17">
        <v>193.33242242950695</v>
      </c>
      <c r="X32" s="17">
        <v>186.66577076040622</v>
      </c>
      <c r="Y32" s="17">
        <v>179.99912890704189</v>
      </c>
      <c r="Z32" s="17">
        <v>173.33249659755433</v>
      </c>
      <c r="AA32" s="17">
        <v>166.66587345551903</v>
      </c>
      <c r="AB32" s="17">
        <v>159.99925900407109</v>
      </c>
      <c r="AC32" s="17">
        <v>153.33265267112967</v>
      </c>
      <c r="AD32" s="17">
        <v>146.66605379566568</v>
      </c>
      <c r="AE32" s="17">
        <v>139.99946163494462</v>
      </c>
      <c r="AF32" s="17">
        <v>133.33287537266381</v>
      </c>
      <c r="AG32" s="17">
        <v>126.66629412789591</v>
      </c>
      <c r="AH32" s="17">
        <v>119.99971696474073</v>
      </c>
      <c r="AI32" s="17">
        <v>113.33314290257908</v>
      </c>
      <c r="AJ32" s="17">
        <v>106.66657092681665</v>
      </c>
      <c r="AK32" s="17">
        <f t="shared" si="3"/>
        <v>100</v>
      </c>
      <c r="AL32" s="15">
        <f t="shared" si="4"/>
        <v>3.3333333333333335E-3</v>
      </c>
      <c r="AM32" s="11">
        <v>2</v>
      </c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</row>
    <row r="33" spans="5:138" ht="15.6" x14ac:dyDescent="0.3">
      <c r="E33" s="11">
        <v>1</v>
      </c>
      <c r="F33" s="15">
        <v>0</v>
      </c>
      <c r="G33" s="17">
        <f t="shared" si="2"/>
        <v>300</v>
      </c>
      <c r="H33" s="17">
        <v>293.3332375934832</v>
      </c>
      <c r="I33" s="17">
        <v>286.66647623591228</v>
      </c>
      <c r="J33" s="17">
        <v>279.99971696474046</v>
      </c>
      <c r="K33" s="17">
        <v>273.33296079456233</v>
      </c>
      <c r="L33" s="17">
        <v>266.66620870599672</v>
      </c>
      <c r="M33" s="17">
        <v>259.99946163494417</v>
      </c>
      <c r="N33" s="17">
        <v>253.33272046233191</v>
      </c>
      <c r="O33" s="17">
        <v>246.66598600446255</v>
      </c>
      <c r="P33" s="17">
        <v>239.99925900407075</v>
      </c>
      <c r="Q33" s="17">
        <v>233.33254012218543</v>
      </c>
      <c r="R33" s="17">
        <v>226.66582993088741</v>
      </c>
      <c r="S33" s="17">
        <v>219.99912890704175</v>
      </c>
      <c r="T33" s="17">
        <v>213.33243742707273</v>
      </c>
      <c r="U33" s="17">
        <v>206.66575576284023</v>
      </c>
      <c r="V33" s="17">
        <v>199.9990840786607</v>
      </c>
      <c r="W33" s="17">
        <v>193.33242242950695</v>
      </c>
      <c r="X33" s="17">
        <v>186.66577076040622</v>
      </c>
      <c r="Y33" s="17">
        <v>179.99912890704189</v>
      </c>
      <c r="Z33" s="17">
        <v>173.33249659755433</v>
      </c>
      <c r="AA33" s="17">
        <v>166.66587345551903</v>
      </c>
      <c r="AB33" s="17">
        <v>159.99925900407109</v>
      </c>
      <c r="AC33" s="17">
        <v>153.33265267112967</v>
      </c>
      <c r="AD33" s="17">
        <v>146.66605379566568</v>
      </c>
      <c r="AE33" s="17">
        <v>139.99946163494462</v>
      </c>
      <c r="AF33" s="17">
        <v>133.33287537266381</v>
      </c>
      <c r="AG33" s="17">
        <v>126.66629412789591</v>
      </c>
      <c r="AH33" s="17">
        <v>119.99971696474073</v>
      </c>
      <c r="AI33" s="17">
        <v>113.33314290257908</v>
      </c>
      <c r="AJ33" s="17">
        <v>106.66657092681665</v>
      </c>
      <c r="AK33" s="17">
        <f t="shared" si="3"/>
        <v>100</v>
      </c>
      <c r="AL33" s="15">
        <f t="shared" si="4"/>
        <v>0</v>
      </c>
      <c r="AM33" s="11">
        <v>1</v>
      </c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</row>
    <row r="34" spans="5:138" ht="15.6" x14ac:dyDescent="0.3">
      <c r="E34" s="18"/>
      <c r="F34" s="19"/>
      <c r="G34" s="11">
        <v>0</v>
      </c>
      <c r="H34" s="15">
        <f>$B$5*(H35-1)</f>
        <v>3.3333333333333335E-3</v>
      </c>
      <c r="I34" s="15">
        <f t="shared" ref="I34:AK34" si="5">$B$5*(I35-1)</f>
        <v>6.6666666666666671E-3</v>
      </c>
      <c r="J34" s="15">
        <f t="shared" si="5"/>
        <v>0.01</v>
      </c>
      <c r="K34" s="15">
        <f t="shared" si="5"/>
        <v>1.3333333333333334E-2</v>
      </c>
      <c r="L34" s="15">
        <f t="shared" si="5"/>
        <v>1.6666666666666666E-2</v>
      </c>
      <c r="M34" s="15">
        <f t="shared" si="5"/>
        <v>0.02</v>
      </c>
      <c r="N34" s="15">
        <f t="shared" si="5"/>
        <v>2.3333333333333334E-2</v>
      </c>
      <c r="O34" s="15">
        <f t="shared" si="5"/>
        <v>2.6666666666666668E-2</v>
      </c>
      <c r="P34" s="15">
        <f t="shared" si="5"/>
        <v>3.0000000000000002E-2</v>
      </c>
      <c r="Q34" s="15">
        <f t="shared" si="5"/>
        <v>3.3333333333333333E-2</v>
      </c>
      <c r="R34" s="15">
        <f t="shared" si="5"/>
        <v>3.6666666666666667E-2</v>
      </c>
      <c r="S34" s="15">
        <f t="shared" si="5"/>
        <v>0.04</v>
      </c>
      <c r="T34" s="15">
        <f t="shared" si="5"/>
        <v>4.3333333333333335E-2</v>
      </c>
      <c r="U34" s="15">
        <f t="shared" si="5"/>
        <v>4.6666666666666669E-2</v>
      </c>
      <c r="V34" s="15">
        <f t="shared" si="5"/>
        <v>0.05</v>
      </c>
      <c r="W34" s="15">
        <f t="shared" si="5"/>
        <v>5.3333333333333337E-2</v>
      </c>
      <c r="X34" s="15">
        <f t="shared" si="5"/>
        <v>5.6666666666666671E-2</v>
      </c>
      <c r="Y34" s="15">
        <f t="shared" si="5"/>
        <v>6.0000000000000005E-2</v>
      </c>
      <c r="Z34" s="15">
        <f t="shared" si="5"/>
        <v>6.3333333333333339E-2</v>
      </c>
      <c r="AA34" s="15">
        <f t="shared" si="5"/>
        <v>6.6666666666666666E-2</v>
      </c>
      <c r="AB34" s="15">
        <f t="shared" si="5"/>
        <v>7.0000000000000007E-2</v>
      </c>
      <c r="AC34" s="15">
        <f t="shared" si="5"/>
        <v>7.3333333333333334E-2</v>
      </c>
      <c r="AD34" s="15">
        <f t="shared" si="5"/>
        <v>7.6666666666666675E-2</v>
      </c>
      <c r="AE34" s="15">
        <f t="shared" si="5"/>
        <v>0.08</v>
      </c>
      <c r="AF34" s="15">
        <f t="shared" si="5"/>
        <v>8.3333333333333343E-2</v>
      </c>
      <c r="AG34" s="15">
        <f t="shared" si="5"/>
        <v>8.666666666666667E-2</v>
      </c>
      <c r="AH34" s="15">
        <f t="shared" si="5"/>
        <v>9.0000000000000011E-2</v>
      </c>
      <c r="AI34" s="15">
        <f t="shared" si="5"/>
        <v>9.3333333333333338E-2</v>
      </c>
      <c r="AJ34" s="15">
        <f t="shared" si="5"/>
        <v>9.6666666666666679E-2</v>
      </c>
      <c r="AK34" s="15">
        <f t="shared" si="5"/>
        <v>0.1</v>
      </c>
      <c r="AL34" s="12"/>
      <c r="AM34" s="19"/>
      <c r="AN34" s="20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</row>
    <row r="35" spans="5:138" ht="15.6" x14ac:dyDescent="0.3">
      <c r="E35" s="21"/>
      <c r="F35" s="22"/>
      <c r="G35" s="11">
        <v>1</v>
      </c>
      <c r="H35" s="11">
        <v>2</v>
      </c>
      <c r="I35" s="11">
        <v>3</v>
      </c>
      <c r="J35" s="11">
        <v>4</v>
      </c>
      <c r="K35" s="11">
        <v>5</v>
      </c>
      <c r="L35" s="11">
        <v>6</v>
      </c>
      <c r="M35" s="11">
        <v>7</v>
      </c>
      <c r="N35" s="11">
        <v>8</v>
      </c>
      <c r="O35" s="11">
        <v>9</v>
      </c>
      <c r="P35" s="11">
        <v>10</v>
      </c>
      <c r="Q35" s="11">
        <v>11</v>
      </c>
      <c r="R35" s="11">
        <v>12</v>
      </c>
      <c r="S35" s="11">
        <v>13</v>
      </c>
      <c r="T35" s="11">
        <v>14</v>
      </c>
      <c r="U35" s="11">
        <v>15</v>
      </c>
      <c r="V35" s="11">
        <v>16</v>
      </c>
      <c r="W35" s="11">
        <v>17</v>
      </c>
      <c r="X35" s="11">
        <v>18</v>
      </c>
      <c r="Y35" s="11">
        <v>19</v>
      </c>
      <c r="Z35" s="11">
        <v>20</v>
      </c>
      <c r="AA35" s="11">
        <v>21</v>
      </c>
      <c r="AB35" s="11">
        <v>22</v>
      </c>
      <c r="AC35" s="11">
        <v>23</v>
      </c>
      <c r="AD35" s="11">
        <v>24</v>
      </c>
      <c r="AE35" s="11">
        <v>25</v>
      </c>
      <c r="AF35" s="11">
        <v>26</v>
      </c>
      <c r="AG35" s="11">
        <v>27</v>
      </c>
      <c r="AH35" s="11">
        <v>28</v>
      </c>
      <c r="AI35" s="11">
        <v>29</v>
      </c>
      <c r="AJ35" s="11">
        <v>30</v>
      </c>
      <c r="AK35" s="11">
        <v>31</v>
      </c>
      <c r="AL35" s="23"/>
      <c r="AM35" s="22"/>
      <c r="AN35" s="20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</row>
    <row r="36" spans="5:138" ht="15.6" x14ac:dyDescent="0.3"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20"/>
      <c r="AM36" s="24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</row>
    <row r="37" spans="5:138" ht="15.6" x14ac:dyDescent="0.3"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20"/>
      <c r="AM37" s="24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</row>
    <row r="38" spans="5:138" ht="15.6" x14ac:dyDescent="0.3">
      <c r="E38" s="25" t="s">
        <v>27</v>
      </c>
      <c r="F38" s="11" t="s">
        <v>2</v>
      </c>
      <c r="G38" s="11">
        <v>0</v>
      </c>
      <c r="H38" s="15">
        <v>3.3333333333333335E-3</v>
      </c>
      <c r="I38" s="15">
        <v>6.6666666666666671E-3</v>
      </c>
      <c r="J38" s="15">
        <v>0.01</v>
      </c>
      <c r="K38" s="15">
        <v>1.3333333333333334E-2</v>
      </c>
      <c r="L38" s="15">
        <v>1.6666666666666666E-2</v>
      </c>
      <c r="M38" s="15">
        <v>0.02</v>
      </c>
      <c r="N38" s="15">
        <v>2.3333333333333334E-2</v>
      </c>
      <c r="O38" s="15">
        <v>2.6666666666666668E-2</v>
      </c>
      <c r="P38" s="15">
        <v>3.0000000000000002E-2</v>
      </c>
      <c r="Q38" s="15">
        <v>3.3333333333333333E-2</v>
      </c>
      <c r="R38" s="15">
        <v>3.6666666666666667E-2</v>
      </c>
      <c r="S38" s="15">
        <v>0.04</v>
      </c>
      <c r="T38" s="15">
        <v>4.3333333333333335E-2</v>
      </c>
      <c r="U38" s="15">
        <v>4.6666666666666669E-2</v>
      </c>
      <c r="V38" s="15">
        <v>0.05</v>
      </c>
      <c r="W38" s="15">
        <v>5.3333333333333337E-2</v>
      </c>
      <c r="X38" s="15">
        <v>5.6666666666666671E-2</v>
      </c>
      <c r="Y38" s="15">
        <v>6.0000000000000005E-2</v>
      </c>
      <c r="Z38" s="15">
        <v>6.3333333333333339E-2</v>
      </c>
      <c r="AA38" s="15">
        <v>6.6666666666666666E-2</v>
      </c>
      <c r="AB38" s="15">
        <v>7.0000000000000007E-2</v>
      </c>
      <c r="AC38" s="15">
        <v>7.3333333333333334E-2</v>
      </c>
      <c r="AD38" s="15">
        <v>7.6666666666666675E-2</v>
      </c>
      <c r="AE38" s="15">
        <v>0.08</v>
      </c>
      <c r="AF38" s="15">
        <v>8.3333333333333343E-2</v>
      </c>
      <c r="AG38" s="15">
        <v>8.666666666666667E-2</v>
      </c>
      <c r="AH38" s="15">
        <v>9.0000000000000011E-2</v>
      </c>
      <c r="AI38" s="15">
        <v>9.3333333333333338E-2</v>
      </c>
      <c r="AJ38" s="15">
        <v>9.6666666666666679E-2</v>
      </c>
      <c r="AK38" s="15">
        <v>0.1</v>
      </c>
      <c r="AL38" s="25" t="s">
        <v>14</v>
      </c>
      <c r="AM38" s="11" t="s">
        <v>2</v>
      </c>
      <c r="AN38" s="11">
        <v>0</v>
      </c>
      <c r="AO38" s="15">
        <v>3.3333333333333335E-3</v>
      </c>
      <c r="AP38" s="15">
        <v>6.6666666666666671E-3</v>
      </c>
      <c r="AQ38" s="15">
        <v>0.01</v>
      </c>
      <c r="AR38" s="15">
        <v>1.3333333333333334E-2</v>
      </c>
      <c r="AS38" s="15">
        <v>1.6666666666666666E-2</v>
      </c>
      <c r="AT38" s="15">
        <v>0.02</v>
      </c>
      <c r="AU38" s="15">
        <v>2.3333333333333334E-2</v>
      </c>
      <c r="AV38" s="15">
        <v>2.6666666666666668E-2</v>
      </c>
      <c r="AW38" s="15">
        <v>3.0000000000000002E-2</v>
      </c>
      <c r="AX38" s="15">
        <v>3.3333333333333333E-2</v>
      </c>
      <c r="AY38" s="15">
        <v>3.6666666666666667E-2</v>
      </c>
      <c r="AZ38" s="15">
        <v>0.04</v>
      </c>
      <c r="BA38" s="15">
        <v>4.3333333333333335E-2</v>
      </c>
      <c r="BB38" s="15">
        <v>4.6666666666666669E-2</v>
      </c>
      <c r="BC38" s="15">
        <v>0.05</v>
      </c>
      <c r="BD38" s="15">
        <v>5.3333333333333337E-2</v>
      </c>
      <c r="BE38" s="15">
        <v>5.6666666666666671E-2</v>
      </c>
      <c r="BF38" s="15">
        <v>6.0000000000000005E-2</v>
      </c>
      <c r="BG38" s="15">
        <v>6.3333333333333339E-2</v>
      </c>
      <c r="BH38" s="15">
        <v>6.6666666666666666E-2</v>
      </c>
      <c r="BI38" s="15">
        <v>7.0000000000000007E-2</v>
      </c>
      <c r="BJ38" s="15">
        <v>7.3333333333333334E-2</v>
      </c>
      <c r="BK38" s="15">
        <v>7.6666666666666675E-2</v>
      </c>
      <c r="BL38" s="15">
        <v>0.08</v>
      </c>
      <c r="BM38" s="15">
        <v>8.3333333333333343E-2</v>
      </c>
      <c r="BN38" s="15">
        <v>8.666666666666667E-2</v>
      </c>
      <c r="BO38" s="15">
        <v>9.0000000000000011E-2</v>
      </c>
      <c r="BP38" s="15">
        <v>9.3333333333333338E-2</v>
      </c>
      <c r="BQ38" s="15">
        <v>9.6666666666666679E-2</v>
      </c>
      <c r="BR38" s="15">
        <v>0.1</v>
      </c>
      <c r="BS38" s="7"/>
      <c r="BT38" s="25" t="s">
        <v>28</v>
      </c>
      <c r="BU38" s="11" t="s">
        <v>2</v>
      </c>
      <c r="BV38" s="11">
        <v>0</v>
      </c>
      <c r="BW38" s="15">
        <v>3.3333333333333335E-3</v>
      </c>
      <c r="BX38" s="15">
        <v>6.6666666666666671E-3</v>
      </c>
      <c r="BY38" s="15">
        <v>0.01</v>
      </c>
      <c r="BZ38" s="15">
        <v>1.3333333333333334E-2</v>
      </c>
      <c r="CA38" s="15">
        <v>1.6666666666666666E-2</v>
      </c>
      <c r="CB38" s="15">
        <v>0.02</v>
      </c>
      <c r="CC38" s="15">
        <v>2.3333333333333334E-2</v>
      </c>
      <c r="CD38" s="15">
        <v>2.6666666666666668E-2</v>
      </c>
      <c r="CE38" s="15">
        <v>3.0000000000000002E-2</v>
      </c>
      <c r="CF38" s="15">
        <v>3.3333333333333333E-2</v>
      </c>
      <c r="CG38" s="15">
        <v>3.6666666666666667E-2</v>
      </c>
      <c r="CH38" s="15">
        <v>0.04</v>
      </c>
      <c r="CI38" s="15">
        <v>4.3333333333333335E-2</v>
      </c>
      <c r="CJ38" s="15">
        <v>4.6666666666666669E-2</v>
      </c>
      <c r="CK38" s="15">
        <v>0.05</v>
      </c>
      <c r="CL38" s="15">
        <v>5.3333333333333337E-2</v>
      </c>
      <c r="CM38" s="15">
        <v>5.6666666666666671E-2</v>
      </c>
      <c r="CN38" s="15">
        <v>6.0000000000000005E-2</v>
      </c>
      <c r="CO38" s="15">
        <v>6.3333333333333339E-2</v>
      </c>
      <c r="CP38" s="15">
        <v>6.6666666666666666E-2</v>
      </c>
      <c r="CQ38" s="15">
        <v>7.0000000000000007E-2</v>
      </c>
      <c r="CR38" s="15">
        <v>7.3333333333333334E-2</v>
      </c>
      <c r="CS38" s="15">
        <v>7.6666666666666675E-2</v>
      </c>
      <c r="CT38" s="15">
        <v>0.08</v>
      </c>
      <c r="CU38" s="15">
        <v>8.3333333333333343E-2</v>
      </c>
      <c r="CV38" s="15">
        <v>8.666666666666667E-2</v>
      </c>
      <c r="CW38" s="15">
        <v>9.0000000000000011E-2</v>
      </c>
      <c r="CX38" s="15">
        <v>9.3333333333333338E-2</v>
      </c>
      <c r="CY38" s="15">
        <v>9.6666666666666679E-2</v>
      </c>
      <c r="CZ38" s="15">
        <v>0.1</v>
      </c>
      <c r="DA38" s="7"/>
      <c r="DB38" s="25" t="s">
        <v>29</v>
      </c>
      <c r="DC38" s="11" t="s">
        <v>2</v>
      </c>
      <c r="DD38" s="11">
        <v>0</v>
      </c>
      <c r="DE38" s="15">
        <v>3.3333333333333335E-3</v>
      </c>
      <c r="DF38" s="15">
        <v>6.6666666666666671E-3</v>
      </c>
      <c r="DG38" s="15">
        <v>0.01</v>
      </c>
      <c r="DH38" s="15">
        <v>1.3333333333333334E-2</v>
      </c>
      <c r="DI38" s="15">
        <v>1.6666666666666666E-2</v>
      </c>
      <c r="DJ38" s="15">
        <v>0.02</v>
      </c>
      <c r="DK38" s="15">
        <v>2.3333333333333334E-2</v>
      </c>
      <c r="DL38" s="15">
        <v>2.6666666666666668E-2</v>
      </c>
      <c r="DM38" s="15">
        <v>3.0000000000000002E-2</v>
      </c>
      <c r="DN38" s="15">
        <v>3.3333333333333333E-2</v>
      </c>
      <c r="DO38" s="15">
        <v>3.6666666666666667E-2</v>
      </c>
      <c r="DP38" s="15">
        <v>0.04</v>
      </c>
      <c r="DQ38" s="15">
        <v>4.3333333333333335E-2</v>
      </c>
      <c r="DR38" s="15">
        <v>4.6666666666666669E-2</v>
      </c>
      <c r="DS38" s="15">
        <v>0.05</v>
      </c>
      <c r="DT38" s="15">
        <v>5.3333333333333337E-2</v>
      </c>
      <c r="DU38" s="15">
        <v>5.6666666666666671E-2</v>
      </c>
      <c r="DV38" s="15">
        <v>6.0000000000000005E-2</v>
      </c>
      <c r="DW38" s="15">
        <v>6.3333333333333339E-2</v>
      </c>
      <c r="DX38" s="15">
        <v>6.6666666666666666E-2</v>
      </c>
      <c r="DY38" s="15">
        <v>7.0000000000000007E-2</v>
      </c>
      <c r="DZ38" s="15">
        <v>7.3333333333333334E-2</v>
      </c>
      <c r="EA38" s="15">
        <v>7.6666666666666675E-2</v>
      </c>
      <c r="EB38" s="15">
        <v>0.08</v>
      </c>
      <c r="EC38" s="15">
        <v>8.3333333333333343E-2</v>
      </c>
      <c r="ED38" s="15">
        <v>8.666666666666667E-2</v>
      </c>
      <c r="EE38" s="15">
        <v>9.0000000000000011E-2</v>
      </c>
      <c r="EF38" s="15">
        <v>9.3333333333333338E-2</v>
      </c>
      <c r="EG38" s="15">
        <v>9.6666666666666679E-2</v>
      </c>
      <c r="EH38" s="15">
        <v>0.1</v>
      </c>
    </row>
    <row r="39" spans="5:138" ht="15.6" x14ac:dyDescent="0.3">
      <c r="E39" s="25"/>
      <c r="F39" s="15">
        <v>0.1</v>
      </c>
      <c r="G39" s="7">
        <f>$B$16</f>
        <v>300</v>
      </c>
      <c r="H39" s="7">
        <f>BW39*I39+DE39</f>
        <v>293.33323995443419</v>
      </c>
      <c r="I39" s="7">
        <f t="shared" ref="I39:AI48" si="6">BX39*J39+DF39</f>
        <v>286.66648093194715</v>
      </c>
      <c r="J39" s="7">
        <f t="shared" si="6"/>
        <v>279.99972394440857</v>
      </c>
      <c r="K39" s="7">
        <f t="shared" si="6"/>
        <v>273.33296998139281</v>
      </c>
      <c r="L39" s="7">
        <f t="shared" si="6"/>
        <v>266.66621999933699</v>
      </c>
      <c r="M39" s="7">
        <f t="shared" si="6"/>
        <v>259.9994749110619</v>
      </c>
      <c r="N39" s="7">
        <f t="shared" si="6"/>
        <v>253.33273557577112</v>
      </c>
      <c r="O39" s="7">
        <f t="shared" si="6"/>
        <v>246.66600278963728</v>
      </c>
      <c r="P39" s="7">
        <f t="shared" si="6"/>
        <v>239.99927727707913</v>
      </c>
      <c r="Q39" s="7">
        <f t="shared" si="6"/>
        <v>233.3325596828245</v>
      </c>
      <c r="R39" s="7">
        <f t="shared" si="6"/>
        <v>226.66585056484672</v>
      </c>
      <c r="S39" s="7">
        <f t="shared" si="6"/>
        <v>219.99915038825128</v>
      </c>
      <c r="T39" s="7">
        <f t="shared" si="6"/>
        <v>213.33245952017995</v>
      </c>
      <c r="U39" s="7">
        <f t="shared" si="6"/>
        <v>206.66577822578842</v>
      </c>
      <c r="V39" s="7">
        <f t="shared" si="6"/>
        <v>199.99910666534106</v>
      </c>
      <c r="W39" s="7">
        <f t="shared" si="6"/>
        <v>193.33244489245516</v>
      </c>
      <c r="X39" s="7">
        <f t="shared" si="6"/>
        <v>186.66579285351341</v>
      </c>
      <c r="Y39" s="7">
        <f t="shared" si="6"/>
        <v>179.99915038825139</v>
      </c>
      <c r="Z39" s="7">
        <f t="shared" si="6"/>
        <v>173.33251723151352</v>
      </c>
      <c r="AA39" s="7">
        <f t="shared" si="6"/>
        <v>166.66589301615801</v>
      </c>
      <c r="AB39" s="7">
        <f t="shared" si="6"/>
        <v>159.99927727707936</v>
      </c>
      <c r="AC39" s="7">
        <f t="shared" si="6"/>
        <v>153.33266945630427</v>
      </c>
      <c r="AD39" s="7">
        <f t="shared" si="6"/>
        <v>146.66606890910481</v>
      </c>
      <c r="AE39" s="7">
        <f t="shared" si="6"/>
        <v>139.99947491106224</v>
      </c>
      <c r="AF39" s="7">
        <f t="shared" si="6"/>
        <v>133.33288666600399</v>
      </c>
      <c r="AG39" s="7">
        <f t="shared" si="6"/>
        <v>126.66630331472645</v>
      </c>
      <c r="AH39" s="7">
        <f t="shared" si="6"/>
        <v>119.9997239444088</v>
      </c>
      <c r="AI39" s="7">
        <f t="shared" si="6"/>
        <v>113.33314759861399</v>
      </c>
      <c r="AJ39" s="7">
        <f>CY39*AK39+EG39</f>
        <v>106.66657328776762</v>
      </c>
      <c r="AK39" s="7">
        <f>$B$17</f>
        <v>100</v>
      </c>
      <c r="AL39" s="25"/>
      <c r="AM39" s="15">
        <v>0.1</v>
      </c>
      <c r="AN39" s="26">
        <f>-($B$12*$B$11)/$B$8*G3</f>
        <v>-538200000</v>
      </c>
      <c r="AO39" s="26">
        <f t="shared" ref="AO39:BR47" si="7">-($B$12*$B$11)/$B$8*H3</f>
        <v>-526239828.2427091</v>
      </c>
      <c r="AP39" s="26">
        <f t="shared" si="7"/>
        <v>-514279658.36722672</v>
      </c>
      <c r="AQ39" s="26">
        <f t="shared" si="7"/>
        <v>-502319492.23474461</v>
      </c>
      <c r="AR39" s="26">
        <f t="shared" si="7"/>
        <v>-490359331.66544479</v>
      </c>
      <c r="AS39" s="26">
        <f t="shared" si="7"/>
        <v>-478399178.4185583</v>
      </c>
      <c r="AT39" s="26">
        <f t="shared" si="7"/>
        <v>-466439034.17309016</v>
      </c>
      <c r="AU39" s="26">
        <f t="shared" si="7"/>
        <v>-454478900.50942373</v>
      </c>
      <c r="AV39" s="26">
        <f t="shared" si="7"/>
        <v>-442518778.8920061</v>
      </c>
      <c r="AW39" s="26">
        <f t="shared" si="7"/>
        <v>-430558670.65330321</v>
      </c>
      <c r="AX39" s="26">
        <f t="shared" si="7"/>
        <v>-418598576.9792009</v>
      </c>
      <c r="AY39" s="26">
        <f t="shared" si="7"/>
        <v>-406638498.89601231</v>
      </c>
      <c r="AZ39" s="26">
        <f t="shared" si="7"/>
        <v>-394678437.25923306</v>
      </c>
      <c r="BA39" s="26">
        <f t="shared" si="7"/>
        <v>-382718392.74416852</v>
      </c>
      <c r="BB39" s="26">
        <f t="shared" si="7"/>
        <v>-370758365.83853549</v>
      </c>
      <c r="BC39" s="26">
        <f t="shared" si="7"/>
        <v>-358798356.83711737</v>
      </c>
      <c r="BD39" s="26">
        <f t="shared" si="7"/>
        <v>-346838365.83853555</v>
      </c>
      <c r="BE39" s="26">
        <f t="shared" si="7"/>
        <v>-334878392.74416882</v>
      </c>
      <c r="BF39" s="26">
        <f t="shared" si="7"/>
        <v>-322918437.25923318</v>
      </c>
      <c r="BG39" s="26">
        <f t="shared" si="7"/>
        <v>-310958498.89601249</v>
      </c>
      <c r="BH39" s="26">
        <f t="shared" si="7"/>
        <v>-298998576.9792012</v>
      </c>
      <c r="BI39" s="26">
        <f t="shared" si="7"/>
        <v>-287038670.65330362</v>
      </c>
      <c r="BJ39" s="26">
        <f t="shared" si="7"/>
        <v>-275078778.89200664</v>
      </c>
      <c r="BK39" s="26">
        <f t="shared" si="7"/>
        <v>-263118900.50942433</v>
      </c>
      <c r="BL39" s="26">
        <f t="shared" si="7"/>
        <v>-251159034.1730907</v>
      </c>
      <c r="BM39" s="26">
        <f t="shared" si="7"/>
        <v>-239199178.41855893</v>
      </c>
      <c r="BN39" s="26">
        <f t="shared" si="7"/>
        <v>-227239331.66544533</v>
      </c>
      <c r="BO39" s="26">
        <f t="shared" si="7"/>
        <v>-215279492.23474491</v>
      </c>
      <c r="BP39" s="26">
        <f t="shared" si="7"/>
        <v>-203319658.3672269</v>
      </c>
      <c r="BQ39" s="26">
        <f t="shared" si="7"/>
        <v>-191359828.24270907</v>
      </c>
      <c r="BR39" s="26">
        <f t="shared" si="7"/>
        <v>-179400000</v>
      </c>
      <c r="BS39" s="7"/>
      <c r="BT39" s="25"/>
      <c r="BU39" s="15">
        <v>0.1</v>
      </c>
      <c r="BV39" s="17">
        <v>0</v>
      </c>
      <c r="BW39" s="17">
        <f>$B$20/($B$21-$B$22*BV39)</f>
        <v>0.41095890410958902</v>
      </c>
      <c r="BX39" s="17">
        <f t="shared" ref="BX39:CY39" si="8">$B$20/($B$21-$B$22*BW39)</f>
        <v>0.49446827726349057</v>
      </c>
      <c r="BY39" s="17">
        <f t="shared" si="8"/>
        <v>0.51576565211146774</v>
      </c>
      <c r="BZ39" s="17">
        <f t="shared" si="8"/>
        <v>0.52149397895713612</v>
      </c>
      <c r="CA39" s="17">
        <f t="shared" si="8"/>
        <v>0.52305649933975962</v>
      </c>
      <c r="CB39" s="17">
        <f t="shared" si="8"/>
        <v>0.52348433598989241</v>
      </c>
      <c r="CC39" s="17">
        <f t="shared" si="8"/>
        <v>0.52360160483419294</v>
      </c>
      <c r="CD39" s="17">
        <f t="shared" si="8"/>
        <v>0.52363375707534621</v>
      </c>
      <c r="CE39" s="17">
        <f t="shared" si="8"/>
        <v>0.52364257312109652</v>
      </c>
      <c r="CF39" s="17">
        <f t="shared" si="8"/>
        <v>0.5236449905056163</v>
      </c>
      <c r="CG39" s="17">
        <f t="shared" si="8"/>
        <v>0.52364565336314417</v>
      </c>
      <c r="CH39" s="17">
        <f t="shared" si="8"/>
        <v>0.52364583512190344</v>
      </c>
      <c r="CI39" s="17">
        <f t="shared" si="8"/>
        <v>0.52364588496106157</v>
      </c>
      <c r="CJ39" s="17">
        <f t="shared" si="8"/>
        <v>0.52364589862720901</v>
      </c>
      <c r="CK39" s="17">
        <f t="shared" si="8"/>
        <v>0.52364590237453534</v>
      </c>
      <c r="CL39" s="17">
        <f t="shared" si="8"/>
        <v>0.52364590340207107</v>
      </c>
      <c r="CM39" s="17">
        <f t="shared" si="8"/>
        <v>0.52364590368382657</v>
      </c>
      <c r="CN39" s="17">
        <f t="shared" si="8"/>
        <v>0.52364590376108522</v>
      </c>
      <c r="CO39" s="17">
        <f t="shared" si="8"/>
        <v>0.52364590378227005</v>
      </c>
      <c r="CP39" s="17">
        <f t="shared" si="8"/>
        <v>0.52364590378807896</v>
      </c>
      <c r="CQ39" s="17">
        <f t="shared" si="8"/>
        <v>0.5236459037896718</v>
      </c>
      <c r="CR39" s="17">
        <f t="shared" si="8"/>
        <v>0.52364590379010867</v>
      </c>
      <c r="CS39" s="17">
        <f t="shared" si="8"/>
        <v>0.52364590379022846</v>
      </c>
      <c r="CT39" s="17">
        <f t="shared" si="8"/>
        <v>0.52364590379026121</v>
      </c>
      <c r="CU39" s="17">
        <f t="shared" si="8"/>
        <v>0.52364590379027021</v>
      </c>
      <c r="CV39" s="17">
        <f t="shared" si="8"/>
        <v>0.52364590379027265</v>
      </c>
      <c r="CW39" s="17">
        <f t="shared" si="8"/>
        <v>0.52364590379027331</v>
      </c>
      <c r="CX39" s="17">
        <f t="shared" si="8"/>
        <v>0.52364590379027354</v>
      </c>
      <c r="CY39" s="17">
        <f t="shared" si="8"/>
        <v>0.52364590379027354</v>
      </c>
      <c r="CZ39" s="17">
        <f>$B$17</f>
        <v>100</v>
      </c>
      <c r="DA39" s="7"/>
      <c r="DB39" s="25"/>
      <c r="DC39" s="15">
        <v>0.1</v>
      </c>
      <c r="DD39" s="17">
        <f>G3</f>
        <v>300</v>
      </c>
      <c r="DE39" s="17">
        <f>(DD39*$B$22-AO39)/($B$21-$B$22*BV39)</f>
        <v>175.52509710568881</v>
      </c>
      <c r="DF39" s="17">
        <f t="shared" ref="DF39:EH47" si="9">(DE39*$B$22-AP39)/($B$21-$B$22*BW39)</f>
        <v>148.21549979890253</v>
      </c>
      <c r="DG39" s="17">
        <f t="shared" si="9"/>
        <v>139.02396643839128</v>
      </c>
      <c r="DH39" s="17">
        <f t="shared" si="9"/>
        <v>134.26814186047957</v>
      </c>
      <c r="DI39" s="17">
        <f t="shared" si="9"/>
        <v>130.67180482218129</v>
      </c>
      <c r="DJ39" s="17">
        <f t="shared" si="9"/>
        <v>127.38375604367634</v>
      </c>
      <c r="DK39" s="17">
        <f t="shared" si="9"/>
        <v>124.17802065708153</v>
      </c>
      <c r="DL39" s="17">
        <f t="shared" si="9"/>
        <v>120.99427953367257</v>
      </c>
      <c r="DM39" s="17">
        <f t="shared" si="9"/>
        <v>117.81641533183308</v>
      </c>
      <c r="DN39" s="17">
        <f t="shared" si="9"/>
        <v>114.64012251584789</v>
      </c>
      <c r="DO39" s="17">
        <f t="shared" si="9"/>
        <v>111.46425172045429</v>
      </c>
      <c r="DP39" s="17">
        <f t="shared" si="9"/>
        <v>108.28849646419701</v>
      </c>
      <c r="DQ39" s="17">
        <f t="shared" si="9"/>
        <v>105.11277518997049</v>
      </c>
      <c r="DR39" s="17">
        <f t="shared" si="9"/>
        <v>101.93706629137688</v>
      </c>
      <c r="DS39" s="17">
        <f t="shared" si="9"/>
        <v>98.76136410135625</v>
      </c>
      <c r="DT39" s="17">
        <f t="shared" si="9"/>
        <v>95.585667159413248</v>
      </c>
      <c r="DU39" s="17">
        <f t="shared" si="9"/>
        <v>92.409975086136498</v>
      </c>
      <c r="DV39" s="17">
        <f t="shared" si="9"/>
        <v>89.23428775137161</v>
      </c>
      <c r="DW39" s="17">
        <f t="shared" si="9"/>
        <v>86.058605053388348</v>
      </c>
      <c r="DX39" s="17">
        <f t="shared" si="9"/>
        <v>82.882926860962328</v>
      </c>
      <c r="DY39" s="17">
        <f t="shared" si="9"/>
        <v>79.707252999149901</v>
      </c>
      <c r="DZ39" s="17">
        <f t="shared" si="9"/>
        <v>76.531583247053732</v>
      </c>
      <c r="EA39" s="17">
        <f t="shared" si="9"/>
        <v>73.355917339144199</v>
      </c>
      <c r="EB39" s="17">
        <f t="shared" si="9"/>
        <v>70.180254967878113</v>
      </c>
      <c r="EC39" s="17">
        <f t="shared" si="9"/>
        <v>67.004595786991558</v>
      </c>
      <c r="ED39" s="17">
        <f t="shared" si="9"/>
        <v>63.828939415273283</v>
      </c>
      <c r="EE39" s="17">
        <f t="shared" si="9"/>
        <v>60.653285440736134</v>
      </c>
      <c r="EF39" s="17">
        <f t="shared" si="9"/>
        <v>57.477633425129468</v>
      </c>
      <c r="EG39" s="17">
        <f t="shared" si="9"/>
        <v>54.301982908740264</v>
      </c>
      <c r="EH39" s="17">
        <f t="shared" si="9"/>
        <v>51.126333415429812</v>
      </c>
    </row>
    <row r="40" spans="5:138" ht="15.6" x14ac:dyDescent="0.3">
      <c r="E40" s="25"/>
      <c r="F40" s="15">
        <v>9.6666666666666679E-2</v>
      </c>
      <c r="G40" s="7">
        <f t="shared" ref="G40:G69" si="10">$B$16</f>
        <v>300</v>
      </c>
      <c r="H40" s="7">
        <f t="shared" ref="H40:W64" si="11">BW40*I40+DE40</f>
        <v>293.33323995443419</v>
      </c>
      <c r="I40" s="7">
        <f t="shared" si="6"/>
        <v>286.66648093194715</v>
      </c>
      <c r="J40" s="7">
        <f t="shared" si="6"/>
        <v>279.99972394440857</v>
      </c>
      <c r="K40" s="7">
        <f t="shared" si="6"/>
        <v>273.33296998139281</v>
      </c>
      <c r="L40" s="7">
        <f t="shared" si="6"/>
        <v>266.66621999933699</v>
      </c>
      <c r="M40" s="7">
        <f t="shared" si="6"/>
        <v>259.9994749110619</v>
      </c>
      <c r="N40" s="7">
        <f t="shared" si="6"/>
        <v>253.33273557577112</v>
      </c>
      <c r="O40" s="7">
        <f t="shared" si="6"/>
        <v>246.66600278963728</v>
      </c>
      <c r="P40" s="7">
        <f t="shared" si="6"/>
        <v>239.99927727707913</v>
      </c>
      <c r="Q40" s="7">
        <f t="shared" si="6"/>
        <v>233.3325596828245</v>
      </c>
      <c r="R40" s="7">
        <f t="shared" si="6"/>
        <v>226.66585056484672</v>
      </c>
      <c r="S40" s="7">
        <f t="shared" si="6"/>
        <v>219.99915038825128</v>
      </c>
      <c r="T40" s="7">
        <f t="shared" si="6"/>
        <v>213.33245952017995</v>
      </c>
      <c r="U40" s="7">
        <f t="shared" si="6"/>
        <v>206.66577822578842</v>
      </c>
      <c r="V40" s="7">
        <f t="shared" si="6"/>
        <v>199.99910666534106</v>
      </c>
      <c r="W40" s="7">
        <f t="shared" si="6"/>
        <v>193.33244489245516</v>
      </c>
      <c r="X40" s="7">
        <f t="shared" si="6"/>
        <v>186.66579285351341</v>
      </c>
      <c r="Y40" s="7">
        <f t="shared" si="6"/>
        <v>179.99915038825139</v>
      </c>
      <c r="Z40" s="7">
        <f t="shared" si="6"/>
        <v>173.33251723151352</v>
      </c>
      <c r="AA40" s="7">
        <f t="shared" si="6"/>
        <v>166.66589301615801</v>
      </c>
      <c r="AB40" s="7">
        <f t="shared" si="6"/>
        <v>159.99927727707936</v>
      </c>
      <c r="AC40" s="7">
        <f t="shared" si="6"/>
        <v>153.33266945630427</v>
      </c>
      <c r="AD40" s="7">
        <f t="shared" si="6"/>
        <v>146.66606890910481</v>
      </c>
      <c r="AE40" s="7">
        <f t="shared" si="6"/>
        <v>139.99947491106224</v>
      </c>
      <c r="AF40" s="7">
        <f t="shared" si="6"/>
        <v>133.33288666600399</v>
      </c>
      <c r="AG40" s="7">
        <f t="shared" si="6"/>
        <v>126.66630331472645</v>
      </c>
      <c r="AH40" s="7">
        <f t="shared" si="6"/>
        <v>119.9997239444088</v>
      </c>
      <c r="AI40" s="7">
        <f t="shared" si="6"/>
        <v>113.33314759861399</v>
      </c>
      <c r="AJ40" s="7">
        <f t="shared" ref="AI40:AJ55" si="12">CY40*AK40+EG40</f>
        <v>106.66657328776762</v>
      </c>
      <c r="AK40" s="7">
        <f t="shared" ref="AK40:AK69" si="13">$B$17</f>
        <v>100</v>
      </c>
      <c r="AL40" s="25"/>
      <c r="AM40" s="15">
        <v>9.6666666666666679E-2</v>
      </c>
      <c r="AN40" s="26">
        <f t="shared" ref="AN40:BC62" si="14">-($B$12*$B$11)/$B$8*G4</f>
        <v>-538200000</v>
      </c>
      <c r="AO40" s="26">
        <f>-($B$12*$B$11)/$B$8*H4</f>
        <v>-526239828.2427091</v>
      </c>
      <c r="AP40" s="26">
        <f t="shared" si="7"/>
        <v>-514279658.36722672</v>
      </c>
      <c r="AQ40" s="26">
        <f t="shared" si="7"/>
        <v>-502319492.23474461</v>
      </c>
      <c r="AR40" s="26">
        <f t="shared" si="7"/>
        <v>-490359331.66544479</v>
      </c>
      <c r="AS40" s="26">
        <f t="shared" si="7"/>
        <v>-478399178.4185583</v>
      </c>
      <c r="AT40" s="26">
        <f t="shared" si="7"/>
        <v>-466439034.17309016</v>
      </c>
      <c r="AU40" s="26">
        <f t="shared" si="7"/>
        <v>-454478900.50942373</v>
      </c>
      <c r="AV40" s="26">
        <f t="shared" si="7"/>
        <v>-442518778.8920061</v>
      </c>
      <c r="AW40" s="26">
        <f t="shared" si="7"/>
        <v>-430558670.65330321</v>
      </c>
      <c r="AX40" s="26">
        <f t="shared" si="7"/>
        <v>-418598576.9792009</v>
      </c>
      <c r="AY40" s="26">
        <f t="shared" si="7"/>
        <v>-406638498.89601231</v>
      </c>
      <c r="AZ40" s="26">
        <f t="shared" si="7"/>
        <v>-394678437.25923306</v>
      </c>
      <c r="BA40" s="26">
        <f t="shared" si="7"/>
        <v>-382718392.74416852</v>
      </c>
      <c r="BB40" s="26">
        <f t="shared" si="7"/>
        <v>-370758365.83853549</v>
      </c>
      <c r="BC40" s="26">
        <f t="shared" si="7"/>
        <v>-358798356.83711737</v>
      </c>
      <c r="BD40" s="26">
        <f t="shared" si="7"/>
        <v>-346838365.83853555</v>
      </c>
      <c r="BE40" s="26">
        <f t="shared" si="7"/>
        <v>-334878392.74416882</v>
      </c>
      <c r="BF40" s="26">
        <f t="shared" si="7"/>
        <v>-322918437.25923318</v>
      </c>
      <c r="BG40" s="26">
        <f t="shared" si="7"/>
        <v>-310958498.89601249</v>
      </c>
      <c r="BH40" s="26">
        <f t="shared" si="7"/>
        <v>-298998576.9792012</v>
      </c>
      <c r="BI40" s="26">
        <f t="shared" si="7"/>
        <v>-287038670.65330362</v>
      </c>
      <c r="BJ40" s="26">
        <f t="shared" si="7"/>
        <v>-275078778.89200664</v>
      </c>
      <c r="BK40" s="26">
        <f t="shared" si="7"/>
        <v>-263118900.50942433</v>
      </c>
      <c r="BL40" s="26">
        <f t="shared" si="7"/>
        <v>-251159034.1730907</v>
      </c>
      <c r="BM40" s="26">
        <f t="shared" si="7"/>
        <v>-239199178.41855893</v>
      </c>
      <c r="BN40" s="26">
        <f t="shared" si="7"/>
        <v>-227239331.66544533</v>
      </c>
      <c r="BO40" s="26">
        <f t="shared" si="7"/>
        <v>-215279492.23474491</v>
      </c>
      <c r="BP40" s="26">
        <f t="shared" si="7"/>
        <v>-203319658.3672269</v>
      </c>
      <c r="BQ40" s="26">
        <f t="shared" si="7"/>
        <v>-191359828.24270907</v>
      </c>
      <c r="BR40" s="26">
        <f t="shared" si="7"/>
        <v>-179400000</v>
      </c>
      <c r="BS40" s="7"/>
      <c r="BT40" s="25"/>
      <c r="BU40" s="15">
        <v>9.6666666666666679E-2</v>
      </c>
      <c r="BV40" s="17">
        <v>0</v>
      </c>
      <c r="BW40" s="17">
        <f t="shared" ref="BW40:CY48" si="15">$B$20/($B$21-$B$22*BV40)</f>
        <v>0.41095890410958902</v>
      </c>
      <c r="BX40" s="17">
        <f t="shared" si="15"/>
        <v>0.49446827726349057</v>
      </c>
      <c r="BY40" s="17">
        <f t="shared" si="15"/>
        <v>0.51576565211146774</v>
      </c>
      <c r="BZ40" s="17">
        <f t="shared" si="15"/>
        <v>0.52149397895713612</v>
      </c>
      <c r="CA40" s="17">
        <f t="shared" si="15"/>
        <v>0.52305649933975962</v>
      </c>
      <c r="CB40" s="17">
        <f t="shared" si="15"/>
        <v>0.52348433598989241</v>
      </c>
      <c r="CC40" s="17">
        <f t="shared" si="15"/>
        <v>0.52360160483419294</v>
      </c>
      <c r="CD40" s="17">
        <f t="shared" si="15"/>
        <v>0.52363375707534621</v>
      </c>
      <c r="CE40" s="17">
        <f t="shared" si="15"/>
        <v>0.52364257312109652</v>
      </c>
      <c r="CF40" s="17">
        <f t="shared" si="15"/>
        <v>0.5236449905056163</v>
      </c>
      <c r="CG40" s="17">
        <f t="shared" si="15"/>
        <v>0.52364565336314417</v>
      </c>
      <c r="CH40" s="17">
        <f t="shared" si="15"/>
        <v>0.52364583512190344</v>
      </c>
      <c r="CI40" s="17">
        <f t="shared" si="15"/>
        <v>0.52364588496106157</v>
      </c>
      <c r="CJ40" s="17">
        <f t="shared" si="15"/>
        <v>0.52364589862720901</v>
      </c>
      <c r="CK40" s="17">
        <f t="shared" si="15"/>
        <v>0.52364590237453534</v>
      </c>
      <c r="CL40" s="17">
        <f t="shared" si="15"/>
        <v>0.52364590340207107</v>
      </c>
      <c r="CM40" s="17">
        <f t="shared" si="15"/>
        <v>0.52364590368382657</v>
      </c>
      <c r="CN40" s="17">
        <f t="shared" si="15"/>
        <v>0.52364590376108522</v>
      </c>
      <c r="CO40" s="17">
        <f t="shared" si="15"/>
        <v>0.52364590378227005</v>
      </c>
      <c r="CP40" s="17">
        <f t="shared" si="15"/>
        <v>0.52364590378807896</v>
      </c>
      <c r="CQ40" s="17">
        <f t="shared" si="15"/>
        <v>0.5236459037896718</v>
      </c>
      <c r="CR40" s="17">
        <f t="shared" si="15"/>
        <v>0.52364590379010867</v>
      </c>
      <c r="CS40" s="17">
        <f t="shared" si="15"/>
        <v>0.52364590379022846</v>
      </c>
      <c r="CT40" s="17">
        <f t="shared" si="15"/>
        <v>0.52364590379026121</v>
      </c>
      <c r="CU40" s="17">
        <f t="shared" si="15"/>
        <v>0.52364590379027021</v>
      </c>
      <c r="CV40" s="17">
        <f t="shared" si="15"/>
        <v>0.52364590379027265</v>
      </c>
      <c r="CW40" s="17">
        <f t="shared" si="15"/>
        <v>0.52364590379027331</v>
      </c>
      <c r="CX40" s="17">
        <f t="shared" si="15"/>
        <v>0.52364590379027354</v>
      </c>
      <c r="CY40" s="17">
        <f t="shared" si="15"/>
        <v>0.52364590379027354</v>
      </c>
      <c r="CZ40" s="17">
        <f t="shared" ref="CZ40:CZ69" si="16">$B$17</f>
        <v>100</v>
      </c>
      <c r="DA40" s="7"/>
      <c r="DB40" s="25"/>
      <c r="DC40" s="15">
        <v>9.6666666666666679E-2</v>
      </c>
      <c r="DD40" s="17">
        <f t="shared" ref="DD40:DD69" si="17">G4</f>
        <v>300</v>
      </c>
      <c r="DE40" s="17">
        <f t="shared" ref="DE40:DT63" si="18">(DD40*$B$22-AO40)/($B$21-$B$22*BV40)</f>
        <v>175.52509710568881</v>
      </c>
      <c r="DF40" s="17">
        <f t="shared" si="9"/>
        <v>148.21549979890253</v>
      </c>
      <c r="DG40" s="17">
        <f t="shared" si="9"/>
        <v>139.02396643839128</v>
      </c>
      <c r="DH40" s="17">
        <f t="shared" si="9"/>
        <v>134.26814186047957</v>
      </c>
      <c r="DI40" s="17">
        <f t="shared" si="9"/>
        <v>130.67180482218129</v>
      </c>
      <c r="DJ40" s="17">
        <f t="shared" si="9"/>
        <v>127.38375604367634</v>
      </c>
      <c r="DK40" s="17">
        <f t="shared" si="9"/>
        <v>124.17802065708153</v>
      </c>
      <c r="DL40" s="17">
        <f t="shared" si="9"/>
        <v>120.99427953367257</v>
      </c>
      <c r="DM40" s="17">
        <f t="shared" si="9"/>
        <v>117.81641533183308</v>
      </c>
      <c r="DN40" s="17">
        <f t="shared" si="9"/>
        <v>114.64012251584789</v>
      </c>
      <c r="DO40" s="17">
        <f t="shared" si="9"/>
        <v>111.46425172045429</v>
      </c>
      <c r="DP40" s="17">
        <f t="shared" si="9"/>
        <v>108.28849646419701</v>
      </c>
      <c r="DQ40" s="17">
        <f t="shared" si="9"/>
        <v>105.11277518997049</v>
      </c>
      <c r="DR40" s="17">
        <f t="shared" si="9"/>
        <v>101.93706629137688</v>
      </c>
      <c r="DS40" s="17">
        <f t="shared" si="9"/>
        <v>98.76136410135625</v>
      </c>
      <c r="DT40" s="17">
        <f t="shared" si="9"/>
        <v>95.585667159413248</v>
      </c>
      <c r="DU40" s="17">
        <f t="shared" si="9"/>
        <v>92.409975086136498</v>
      </c>
      <c r="DV40" s="17">
        <f t="shared" si="9"/>
        <v>89.23428775137161</v>
      </c>
      <c r="DW40" s="17">
        <f t="shared" si="9"/>
        <v>86.058605053388348</v>
      </c>
      <c r="DX40" s="17">
        <f t="shared" si="9"/>
        <v>82.882926860962328</v>
      </c>
      <c r="DY40" s="17">
        <f t="shared" si="9"/>
        <v>79.707252999149901</v>
      </c>
      <c r="DZ40" s="17">
        <f t="shared" si="9"/>
        <v>76.531583247053732</v>
      </c>
      <c r="EA40" s="17">
        <f t="shared" si="9"/>
        <v>73.355917339144199</v>
      </c>
      <c r="EB40" s="17">
        <f t="shared" si="9"/>
        <v>70.180254967878113</v>
      </c>
      <c r="EC40" s="17">
        <f t="shared" si="9"/>
        <v>67.004595786991558</v>
      </c>
      <c r="ED40" s="17">
        <f t="shared" si="9"/>
        <v>63.828939415273283</v>
      </c>
      <c r="EE40" s="17">
        <f t="shared" si="9"/>
        <v>60.653285440736134</v>
      </c>
      <c r="EF40" s="17">
        <f t="shared" si="9"/>
        <v>57.477633425129468</v>
      </c>
      <c r="EG40" s="17">
        <f t="shared" si="9"/>
        <v>54.301982908740264</v>
      </c>
      <c r="EH40" s="17">
        <f t="shared" si="9"/>
        <v>51.126333415429812</v>
      </c>
    </row>
    <row r="41" spans="5:138" ht="15.6" x14ac:dyDescent="0.3">
      <c r="E41" s="25"/>
      <c r="F41" s="15">
        <v>9.3333333333333338E-2</v>
      </c>
      <c r="G41" s="7">
        <f t="shared" si="10"/>
        <v>300</v>
      </c>
      <c r="H41" s="7">
        <f t="shared" si="11"/>
        <v>293.33323995443419</v>
      </c>
      <c r="I41" s="7">
        <f t="shared" si="6"/>
        <v>286.66648093194715</v>
      </c>
      <c r="J41" s="7">
        <f t="shared" si="6"/>
        <v>279.99972394440852</v>
      </c>
      <c r="K41" s="7">
        <f t="shared" si="6"/>
        <v>273.33296998139281</v>
      </c>
      <c r="L41" s="7">
        <f t="shared" si="6"/>
        <v>266.66621999933693</v>
      </c>
      <c r="M41" s="7">
        <f t="shared" si="6"/>
        <v>259.9994749110619</v>
      </c>
      <c r="N41" s="7">
        <f t="shared" si="6"/>
        <v>253.33273557577112</v>
      </c>
      <c r="O41" s="7">
        <f t="shared" si="6"/>
        <v>246.66600278963728</v>
      </c>
      <c r="P41" s="7">
        <f t="shared" si="6"/>
        <v>239.99927727707913</v>
      </c>
      <c r="Q41" s="7">
        <f t="shared" si="6"/>
        <v>233.3325596828245</v>
      </c>
      <c r="R41" s="7">
        <f t="shared" si="6"/>
        <v>226.66585056484672</v>
      </c>
      <c r="S41" s="7">
        <f t="shared" si="6"/>
        <v>219.99915038825128</v>
      </c>
      <c r="T41" s="7">
        <f t="shared" si="6"/>
        <v>213.33245952017995</v>
      </c>
      <c r="U41" s="7">
        <f t="shared" si="6"/>
        <v>206.66577822578842</v>
      </c>
      <c r="V41" s="7">
        <f t="shared" si="6"/>
        <v>199.99910666534106</v>
      </c>
      <c r="W41" s="7">
        <f t="shared" si="6"/>
        <v>193.33244489245516</v>
      </c>
      <c r="X41" s="7">
        <f t="shared" si="6"/>
        <v>186.66579285351341</v>
      </c>
      <c r="Y41" s="7">
        <f t="shared" si="6"/>
        <v>179.99915038825139</v>
      </c>
      <c r="Z41" s="7">
        <f t="shared" si="6"/>
        <v>173.33251723151352</v>
      </c>
      <c r="AA41" s="7">
        <f t="shared" si="6"/>
        <v>166.66589301615795</v>
      </c>
      <c r="AB41" s="7">
        <f t="shared" si="6"/>
        <v>159.99927727707933</v>
      </c>
      <c r="AC41" s="7">
        <f t="shared" si="6"/>
        <v>153.33266945630427</v>
      </c>
      <c r="AD41" s="7">
        <f t="shared" si="6"/>
        <v>146.66606890910481</v>
      </c>
      <c r="AE41" s="7">
        <f t="shared" si="6"/>
        <v>139.99947491106224</v>
      </c>
      <c r="AF41" s="7">
        <f t="shared" si="6"/>
        <v>133.33288666600399</v>
      </c>
      <c r="AG41" s="7">
        <f t="shared" si="6"/>
        <v>126.66630331472645</v>
      </c>
      <c r="AH41" s="7">
        <f t="shared" si="6"/>
        <v>119.9997239444088</v>
      </c>
      <c r="AI41" s="7">
        <f t="shared" si="12"/>
        <v>113.33314759861399</v>
      </c>
      <c r="AJ41" s="7">
        <f t="shared" si="12"/>
        <v>106.66657328776762</v>
      </c>
      <c r="AK41" s="7">
        <f t="shared" si="13"/>
        <v>100</v>
      </c>
      <c r="AL41" s="25"/>
      <c r="AM41" s="15">
        <v>9.3333333333333338E-2</v>
      </c>
      <c r="AN41" s="26">
        <f t="shared" si="14"/>
        <v>-538200000</v>
      </c>
      <c r="AO41" s="26">
        <f t="shared" si="14"/>
        <v>-526239828.2427091</v>
      </c>
      <c r="AP41" s="26">
        <f t="shared" si="7"/>
        <v>-514279658.36722672</v>
      </c>
      <c r="AQ41" s="26">
        <f t="shared" si="7"/>
        <v>-502319492.23474449</v>
      </c>
      <c r="AR41" s="26">
        <f t="shared" si="7"/>
        <v>-490359331.66544473</v>
      </c>
      <c r="AS41" s="26">
        <f t="shared" si="7"/>
        <v>-478399178.4185583</v>
      </c>
      <c r="AT41" s="26">
        <f t="shared" si="7"/>
        <v>-466439034.17309016</v>
      </c>
      <c r="AU41" s="26">
        <f t="shared" si="7"/>
        <v>-454478900.50942373</v>
      </c>
      <c r="AV41" s="26">
        <f t="shared" si="7"/>
        <v>-442518778.8920061</v>
      </c>
      <c r="AW41" s="26">
        <f t="shared" si="7"/>
        <v>-430558670.65330321</v>
      </c>
      <c r="AX41" s="26">
        <f t="shared" si="7"/>
        <v>-418598576.9792009</v>
      </c>
      <c r="AY41" s="26">
        <f t="shared" si="7"/>
        <v>-406638498.89601225</v>
      </c>
      <c r="AZ41" s="26">
        <f t="shared" si="7"/>
        <v>-394678437.25923306</v>
      </c>
      <c r="BA41" s="26">
        <f t="shared" si="7"/>
        <v>-382718392.74416852</v>
      </c>
      <c r="BB41" s="26">
        <f t="shared" si="7"/>
        <v>-370758365.83853549</v>
      </c>
      <c r="BC41" s="26">
        <f t="shared" si="7"/>
        <v>-358798356.83711737</v>
      </c>
      <c r="BD41" s="26">
        <f t="shared" si="7"/>
        <v>-346838365.83853555</v>
      </c>
      <c r="BE41" s="26">
        <f t="shared" si="7"/>
        <v>-334878392.74416882</v>
      </c>
      <c r="BF41" s="26">
        <f t="shared" si="7"/>
        <v>-322918437.25923318</v>
      </c>
      <c r="BG41" s="26">
        <f t="shared" si="7"/>
        <v>-310958498.89601249</v>
      </c>
      <c r="BH41" s="26">
        <f t="shared" si="7"/>
        <v>-298998576.97920114</v>
      </c>
      <c r="BI41" s="26">
        <f t="shared" si="7"/>
        <v>-287038670.65330362</v>
      </c>
      <c r="BJ41" s="26">
        <f t="shared" si="7"/>
        <v>-275078778.89200664</v>
      </c>
      <c r="BK41" s="26">
        <f t="shared" si="7"/>
        <v>-263118900.50942433</v>
      </c>
      <c r="BL41" s="26">
        <f t="shared" si="7"/>
        <v>-251159034.17309067</v>
      </c>
      <c r="BM41" s="26">
        <f t="shared" si="7"/>
        <v>-239199178.41855893</v>
      </c>
      <c r="BN41" s="26">
        <f t="shared" si="7"/>
        <v>-227239331.66544533</v>
      </c>
      <c r="BO41" s="26">
        <f t="shared" si="7"/>
        <v>-215279492.23474488</v>
      </c>
      <c r="BP41" s="26">
        <f t="shared" si="7"/>
        <v>-203319658.3672269</v>
      </c>
      <c r="BQ41" s="26">
        <f t="shared" si="7"/>
        <v>-191359828.24270904</v>
      </c>
      <c r="BR41" s="26">
        <f t="shared" si="7"/>
        <v>-179400000</v>
      </c>
      <c r="BS41" s="7"/>
      <c r="BT41" s="25"/>
      <c r="BU41" s="15">
        <v>9.3333333333333338E-2</v>
      </c>
      <c r="BV41" s="17">
        <v>0</v>
      </c>
      <c r="BW41" s="17">
        <f t="shared" si="15"/>
        <v>0.41095890410958902</v>
      </c>
      <c r="BX41" s="17">
        <f t="shared" si="15"/>
        <v>0.49446827726349057</v>
      </c>
      <c r="BY41" s="17">
        <f t="shared" si="15"/>
        <v>0.51576565211146774</v>
      </c>
      <c r="BZ41" s="17">
        <f t="shared" si="15"/>
        <v>0.52149397895713612</v>
      </c>
      <c r="CA41" s="17">
        <f t="shared" si="15"/>
        <v>0.52305649933975962</v>
      </c>
      <c r="CB41" s="17">
        <f t="shared" si="15"/>
        <v>0.52348433598989241</v>
      </c>
      <c r="CC41" s="17">
        <f t="shared" si="15"/>
        <v>0.52360160483419294</v>
      </c>
      <c r="CD41" s="17">
        <f t="shared" si="15"/>
        <v>0.52363375707534621</v>
      </c>
      <c r="CE41" s="17">
        <f t="shared" si="15"/>
        <v>0.52364257312109652</v>
      </c>
      <c r="CF41" s="17">
        <f t="shared" si="15"/>
        <v>0.5236449905056163</v>
      </c>
      <c r="CG41" s="17">
        <f t="shared" si="15"/>
        <v>0.52364565336314417</v>
      </c>
      <c r="CH41" s="17">
        <f t="shared" si="15"/>
        <v>0.52364583512190344</v>
      </c>
      <c r="CI41" s="17">
        <f t="shared" si="15"/>
        <v>0.52364588496106157</v>
      </c>
      <c r="CJ41" s="17">
        <f t="shared" si="15"/>
        <v>0.52364589862720901</v>
      </c>
      <c r="CK41" s="17">
        <f t="shared" si="15"/>
        <v>0.52364590237453534</v>
      </c>
      <c r="CL41" s="17">
        <f t="shared" si="15"/>
        <v>0.52364590340207107</v>
      </c>
      <c r="CM41" s="17">
        <f t="shared" si="15"/>
        <v>0.52364590368382657</v>
      </c>
      <c r="CN41" s="17">
        <f t="shared" si="15"/>
        <v>0.52364590376108522</v>
      </c>
      <c r="CO41" s="17">
        <f t="shared" si="15"/>
        <v>0.52364590378227005</v>
      </c>
      <c r="CP41" s="17">
        <f t="shared" si="15"/>
        <v>0.52364590378807896</v>
      </c>
      <c r="CQ41" s="17">
        <f t="shared" si="15"/>
        <v>0.5236459037896718</v>
      </c>
      <c r="CR41" s="17">
        <f t="shared" si="15"/>
        <v>0.52364590379010867</v>
      </c>
      <c r="CS41" s="17">
        <f t="shared" si="15"/>
        <v>0.52364590379022846</v>
      </c>
      <c r="CT41" s="17">
        <f t="shared" si="15"/>
        <v>0.52364590379026121</v>
      </c>
      <c r="CU41" s="17">
        <f t="shared" si="15"/>
        <v>0.52364590379027021</v>
      </c>
      <c r="CV41" s="17">
        <f t="shared" si="15"/>
        <v>0.52364590379027265</v>
      </c>
      <c r="CW41" s="17">
        <f t="shared" si="15"/>
        <v>0.52364590379027331</v>
      </c>
      <c r="CX41" s="17">
        <f t="shared" si="15"/>
        <v>0.52364590379027354</v>
      </c>
      <c r="CY41" s="17">
        <f t="shared" si="15"/>
        <v>0.52364590379027354</v>
      </c>
      <c r="CZ41" s="17">
        <f t="shared" si="16"/>
        <v>100</v>
      </c>
      <c r="DA41" s="7"/>
      <c r="DB41" s="25"/>
      <c r="DC41" s="15">
        <v>9.3333333333333338E-2</v>
      </c>
      <c r="DD41" s="17">
        <f t="shared" si="17"/>
        <v>300</v>
      </c>
      <c r="DE41" s="17">
        <f t="shared" si="18"/>
        <v>175.52509710568881</v>
      </c>
      <c r="DF41" s="17">
        <f t="shared" si="9"/>
        <v>148.21549979890253</v>
      </c>
      <c r="DG41" s="17">
        <f t="shared" si="9"/>
        <v>139.02396643839126</v>
      </c>
      <c r="DH41" s="17">
        <f t="shared" si="9"/>
        <v>134.26814186047955</v>
      </c>
      <c r="DI41" s="17">
        <f t="shared" si="9"/>
        <v>130.67180482218126</v>
      </c>
      <c r="DJ41" s="17">
        <f t="shared" si="9"/>
        <v>127.38375604367634</v>
      </c>
      <c r="DK41" s="17">
        <f t="shared" si="9"/>
        <v>124.17802065708153</v>
      </c>
      <c r="DL41" s="17">
        <f t="shared" si="9"/>
        <v>120.99427953367257</v>
      </c>
      <c r="DM41" s="17">
        <f t="shared" si="9"/>
        <v>117.81641533183308</v>
      </c>
      <c r="DN41" s="17">
        <f t="shared" si="9"/>
        <v>114.64012251584789</v>
      </c>
      <c r="DO41" s="17">
        <f t="shared" si="9"/>
        <v>111.46425172045427</v>
      </c>
      <c r="DP41" s="17">
        <f t="shared" si="9"/>
        <v>108.28849646419701</v>
      </c>
      <c r="DQ41" s="17">
        <f t="shared" si="9"/>
        <v>105.11277518997049</v>
      </c>
      <c r="DR41" s="17">
        <f t="shared" si="9"/>
        <v>101.93706629137688</v>
      </c>
      <c r="DS41" s="17">
        <f t="shared" si="9"/>
        <v>98.76136410135625</v>
      </c>
      <c r="DT41" s="17">
        <f t="shared" si="9"/>
        <v>95.585667159413248</v>
      </c>
      <c r="DU41" s="17">
        <f t="shared" si="9"/>
        <v>92.409975086136498</v>
      </c>
      <c r="DV41" s="17">
        <f t="shared" si="9"/>
        <v>89.23428775137161</v>
      </c>
      <c r="DW41" s="17">
        <f t="shared" si="9"/>
        <v>86.058605053388348</v>
      </c>
      <c r="DX41" s="17">
        <f t="shared" si="9"/>
        <v>82.882926860962314</v>
      </c>
      <c r="DY41" s="17">
        <f t="shared" si="9"/>
        <v>79.707252999149887</v>
      </c>
      <c r="DZ41" s="17">
        <f t="shared" si="9"/>
        <v>76.531583247053732</v>
      </c>
      <c r="EA41" s="17">
        <f t="shared" si="9"/>
        <v>73.355917339144199</v>
      </c>
      <c r="EB41" s="17">
        <f t="shared" si="9"/>
        <v>70.180254967878113</v>
      </c>
      <c r="EC41" s="17">
        <f t="shared" si="9"/>
        <v>67.004595786991558</v>
      </c>
      <c r="ED41" s="17">
        <f t="shared" si="9"/>
        <v>63.828939415273283</v>
      </c>
      <c r="EE41" s="17">
        <f t="shared" si="9"/>
        <v>60.653285440736134</v>
      </c>
      <c r="EF41" s="17">
        <f t="shared" si="9"/>
        <v>57.477633425129468</v>
      </c>
      <c r="EG41" s="17">
        <f t="shared" si="9"/>
        <v>54.301982908740257</v>
      </c>
      <c r="EH41" s="17">
        <f t="shared" si="9"/>
        <v>51.126333415429812</v>
      </c>
    </row>
    <row r="42" spans="5:138" ht="15.6" x14ac:dyDescent="0.3">
      <c r="E42" s="25"/>
      <c r="F42" s="15">
        <v>9.0000000000000011E-2</v>
      </c>
      <c r="G42" s="7">
        <f t="shared" si="10"/>
        <v>300</v>
      </c>
      <c r="H42" s="7">
        <f t="shared" si="11"/>
        <v>293.33323995443419</v>
      </c>
      <c r="I42" s="7">
        <f t="shared" si="6"/>
        <v>286.66648093194715</v>
      </c>
      <c r="J42" s="7">
        <f t="shared" si="6"/>
        <v>279.99972394440852</v>
      </c>
      <c r="K42" s="7">
        <f t="shared" si="6"/>
        <v>273.33296998139281</v>
      </c>
      <c r="L42" s="7">
        <f t="shared" si="6"/>
        <v>266.66621999933693</v>
      </c>
      <c r="M42" s="7">
        <f t="shared" si="6"/>
        <v>259.99947491106184</v>
      </c>
      <c r="N42" s="7">
        <f t="shared" si="6"/>
        <v>253.3327355757711</v>
      </c>
      <c r="O42" s="7">
        <f t="shared" si="6"/>
        <v>246.66600278963725</v>
      </c>
      <c r="P42" s="7">
        <f t="shared" si="6"/>
        <v>239.9992772770791</v>
      </c>
      <c r="Q42" s="7">
        <f t="shared" si="6"/>
        <v>233.33255968282447</v>
      </c>
      <c r="R42" s="7">
        <f t="shared" si="6"/>
        <v>226.66585056484672</v>
      </c>
      <c r="S42" s="7">
        <f t="shared" si="6"/>
        <v>219.99915038825128</v>
      </c>
      <c r="T42" s="7">
        <f t="shared" si="6"/>
        <v>213.33245952017992</v>
      </c>
      <c r="U42" s="7">
        <f t="shared" si="6"/>
        <v>206.66577822578839</v>
      </c>
      <c r="V42" s="7">
        <f t="shared" si="6"/>
        <v>199.999106665341</v>
      </c>
      <c r="W42" s="7">
        <f t="shared" si="6"/>
        <v>193.3324448924551</v>
      </c>
      <c r="X42" s="7">
        <f t="shared" si="6"/>
        <v>186.66579285351338</v>
      </c>
      <c r="Y42" s="7">
        <f t="shared" si="6"/>
        <v>179.99915038825137</v>
      </c>
      <c r="Z42" s="7">
        <f t="shared" si="6"/>
        <v>173.33251723151352</v>
      </c>
      <c r="AA42" s="7">
        <f t="shared" si="6"/>
        <v>166.66589301615795</v>
      </c>
      <c r="AB42" s="7">
        <f t="shared" si="6"/>
        <v>159.99927727707933</v>
      </c>
      <c r="AC42" s="7">
        <f t="shared" si="6"/>
        <v>153.33266945630427</v>
      </c>
      <c r="AD42" s="7">
        <f t="shared" si="6"/>
        <v>146.66606890910481</v>
      </c>
      <c r="AE42" s="7">
        <f t="shared" si="6"/>
        <v>139.99947491106224</v>
      </c>
      <c r="AF42" s="7">
        <f t="shared" si="6"/>
        <v>133.33288666600399</v>
      </c>
      <c r="AG42" s="7">
        <f t="shared" si="6"/>
        <v>126.66630331472643</v>
      </c>
      <c r="AH42" s="7">
        <f t="shared" si="6"/>
        <v>119.9997239444088</v>
      </c>
      <c r="AI42" s="7">
        <f t="shared" si="12"/>
        <v>113.33314759861399</v>
      </c>
      <c r="AJ42" s="7">
        <f t="shared" si="12"/>
        <v>106.66657328776762</v>
      </c>
      <c r="AK42" s="7">
        <f t="shared" si="13"/>
        <v>100</v>
      </c>
      <c r="AL42" s="25"/>
      <c r="AM42" s="15">
        <v>9.0000000000000011E-2</v>
      </c>
      <c r="AN42" s="26">
        <f t="shared" si="14"/>
        <v>-538200000</v>
      </c>
      <c r="AO42" s="26">
        <f t="shared" si="14"/>
        <v>-526239828.2427091</v>
      </c>
      <c r="AP42" s="26">
        <f t="shared" si="7"/>
        <v>-514279658.36722672</v>
      </c>
      <c r="AQ42" s="26">
        <f t="shared" si="7"/>
        <v>-502319492.23474449</v>
      </c>
      <c r="AR42" s="26">
        <f t="shared" si="7"/>
        <v>-490359331.66544473</v>
      </c>
      <c r="AS42" s="26">
        <f t="shared" si="7"/>
        <v>-478399178.41855824</v>
      </c>
      <c r="AT42" s="26">
        <f t="shared" si="7"/>
        <v>-466439034.17309004</v>
      </c>
      <c r="AU42" s="26">
        <f t="shared" si="7"/>
        <v>-454478900.50942367</v>
      </c>
      <c r="AV42" s="26">
        <f t="shared" si="7"/>
        <v>-442518778.89200598</v>
      </c>
      <c r="AW42" s="26">
        <f t="shared" si="7"/>
        <v>-430558670.65330321</v>
      </c>
      <c r="AX42" s="26">
        <f t="shared" si="7"/>
        <v>-418598576.97920084</v>
      </c>
      <c r="AY42" s="26">
        <f t="shared" si="7"/>
        <v>-406638498.89601225</v>
      </c>
      <c r="AZ42" s="26">
        <f t="shared" si="7"/>
        <v>-394678437.25923294</v>
      </c>
      <c r="BA42" s="26">
        <f t="shared" si="7"/>
        <v>-382718392.74416852</v>
      </c>
      <c r="BB42" s="26">
        <f t="shared" si="7"/>
        <v>-370758365.83853549</v>
      </c>
      <c r="BC42" s="26">
        <f t="shared" si="7"/>
        <v>-358798356.83711731</v>
      </c>
      <c r="BD42" s="26">
        <f t="shared" si="7"/>
        <v>-346838365.83853555</v>
      </c>
      <c r="BE42" s="26">
        <f t="shared" si="7"/>
        <v>-334878392.74416882</v>
      </c>
      <c r="BF42" s="26">
        <f t="shared" si="7"/>
        <v>-322918437.25923318</v>
      </c>
      <c r="BG42" s="26">
        <f t="shared" si="7"/>
        <v>-310958498.89601249</v>
      </c>
      <c r="BH42" s="26">
        <f t="shared" si="7"/>
        <v>-298998576.97920114</v>
      </c>
      <c r="BI42" s="26">
        <f t="shared" si="7"/>
        <v>-287038670.65330356</v>
      </c>
      <c r="BJ42" s="26">
        <f t="shared" si="7"/>
        <v>-275078778.89200664</v>
      </c>
      <c r="BK42" s="26">
        <f t="shared" si="7"/>
        <v>-263118900.50942427</v>
      </c>
      <c r="BL42" s="26">
        <f t="shared" si="7"/>
        <v>-251159034.17309067</v>
      </c>
      <c r="BM42" s="26">
        <f t="shared" si="7"/>
        <v>-239199178.41855887</v>
      </c>
      <c r="BN42" s="26">
        <f t="shared" si="7"/>
        <v>-227239331.6654453</v>
      </c>
      <c r="BO42" s="26">
        <f t="shared" si="7"/>
        <v>-215279492.23474488</v>
      </c>
      <c r="BP42" s="26">
        <f t="shared" si="7"/>
        <v>-203319658.3672269</v>
      </c>
      <c r="BQ42" s="26">
        <f t="shared" si="7"/>
        <v>-191359828.24270904</v>
      </c>
      <c r="BR42" s="26">
        <f t="shared" si="7"/>
        <v>-179400000</v>
      </c>
      <c r="BS42" s="7"/>
      <c r="BT42" s="25"/>
      <c r="BU42" s="15">
        <v>9.0000000000000011E-2</v>
      </c>
      <c r="BV42" s="17">
        <v>0</v>
      </c>
      <c r="BW42" s="17">
        <f t="shared" si="15"/>
        <v>0.41095890410958902</v>
      </c>
      <c r="BX42" s="17">
        <f t="shared" si="15"/>
        <v>0.49446827726349057</v>
      </c>
      <c r="BY42" s="17">
        <f t="shared" si="15"/>
        <v>0.51576565211146774</v>
      </c>
      <c r="BZ42" s="17">
        <f t="shared" si="15"/>
        <v>0.52149397895713612</v>
      </c>
      <c r="CA42" s="17">
        <f t="shared" si="15"/>
        <v>0.52305649933975962</v>
      </c>
      <c r="CB42" s="17">
        <f t="shared" si="15"/>
        <v>0.52348433598989241</v>
      </c>
      <c r="CC42" s="17">
        <f t="shared" si="15"/>
        <v>0.52360160483419294</v>
      </c>
      <c r="CD42" s="17">
        <f t="shared" si="15"/>
        <v>0.52363375707534621</v>
      </c>
      <c r="CE42" s="17">
        <f t="shared" si="15"/>
        <v>0.52364257312109652</v>
      </c>
      <c r="CF42" s="17">
        <f t="shared" si="15"/>
        <v>0.5236449905056163</v>
      </c>
      <c r="CG42" s="17">
        <f t="shared" si="15"/>
        <v>0.52364565336314417</v>
      </c>
      <c r="CH42" s="17">
        <f t="shared" si="15"/>
        <v>0.52364583512190344</v>
      </c>
      <c r="CI42" s="17">
        <f t="shared" si="15"/>
        <v>0.52364588496106157</v>
      </c>
      <c r="CJ42" s="17">
        <f t="shared" si="15"/>
        <v>0.52364589862720901</v>
      </c>
      <c r="CK42" s="17">
        <f t="shared" si="15"/>
        <v>0.52364590237453534</v>
      </c>
      <c r="CL42" s="17">
        <f t="shared" si="15"/>
        <v>0.52364590340207107</v>
      </c>
      <c r="CM42" s="17">
        <f t="shared" si="15"/>
        <v>0.52364590368382657</v>
      </c>
      <c r="CN42" s="17">
        <f t="shared" si="15"/>
        <v>0.52364590376108522</v>
      </c>
      <c r="CO42" s="17">
        <f t="shared" si="15"/>
        <v>0.52364590378227005</v>
      </c>
      <c r="CP42" s="17">
        <f t="shared" si="15"/>
        <v>0.52364590378807896</v>
      </c>
      <c r="CQ42" s="17">
        <f t="shared" si="15"/>
        <v>0.5236459037896718</v>
      </c>
      <c r="CR42" s="17">
        <f t="shared" si="15"/>
        <v>0.52364590379010867</v>
      </c>
      <c r="CS42" s="17">
        <f t="shared" si="15"/>
        <v>0.52364590379022846</v>
      </c>
      <c r="CT42" s="17">
        <f t="shared" si="15"/>
        <v>0.52364590379026121</v>
      </c>
      <c r="CU42" s="17">
        <f t="shared" si="15"/>
        <v>0.52364590379027021</v>
      </c>
      <c r="CV42" s="17">
        <f t="shared" si="15"/>
        <v>0.52364590379027265</v>
      </c>
      <c r="CW42" s="17">
        <f t="shared" si="15"/>
        <v>0.52364590379027331</v>
      </c>
      <c r="CX42" s="17">
        <f t="shared" si="15"/>
        <v>0.52364590379027354</v>
      </c>
      <c r="CY42" s="17">
        <f t="shared" si="15"/>
        <v>0.52364590379027354</v>
      </c>
      <c r="CZ42" s="17">
        <f t="shared" si="16"/>
        <v>100</v>
      </c>
      <c r="DA42" s="7"/>
      <c r="DB42" s="25"/>
      <c r="DC42" s="15">
        <v>9.0000000000000011E-2</v>
      </c>
      <c r="DD42" s="17">
        <f t="shared" si="17"/>
        <v>300</v>
      </c>
      <c r="DE42" s="17">
        <f t="shared" si="18"/>
        <v>175.52509710568881</v>
      </c>
      <c r="DF42" s="17">
        <f t="shared" si="9"/>
        <v>148.21549979890253</v>
      </c>
      <c r="DG42" s="17">
        <f t="shared" si="9"/>
        <v>139.02396643839126</v>
      </c>
      <c r="DH42" s="17">
        <f t="shared" si="9"/>
        <v>134.26814186047955</v>
      </c>
      <c r="DI42" s="17">
        <f t="shared" si="9"/>
        <v>130.67180482218126</v>
      </c>
      <c r="DJ42" s="17">
        <f t="shared" si="9"/>
        <v>127.38375604367631</v>
      </c>
      <c r="DK42" s="17">
        <f t="shared" si="9"/>
        <v>124.17802065708152</v>
      </c>
      <c r="DL42" s="17">
        <f t="shared" si="9"/>
        <v>120.99427953367255</v>
      </c>
      <c r="DM42" s="17">
        <f t="shared" si="9"/>
        <v>117.81641533183307</v>
      </c>
      <c r="DN42" s="17">
        <f t="shared" si="9"/>
        <v>114.64012251584786</v>
      </c>
      <c r="DO42" s="17">
        <f t="shared" si="9"/>
        <v>111.46425172045427</v>
      </c>
      <c r="DP42" s="17">
        <f t="shared" si="9"/>
        <v>108.288496464197</v>
      </c>
      <c r="DQ42" s="17">
        <f t="shared" si="9"/>
        <v>105.11277518997048</v>
      </c>
      <c r="DR42" s="17">
        <f t="shared" si="9"/>
        <v>101.93706629137687</v>
      </c>
      <c r="DS42" s="17">
        <f t="shared" si="9"/>
        <v>98.761364101356236</v>
      </c>
      <c r="DT42" s="17">
        <f t="shared" si="9"/>
        <v>95.585667159413234</v>
      </c>
      <c r="DU42" s="17">
        <f t="shared" si="9"/>
        <v>92.409975086136484</v>
      </c>
      <c r="DV42" s="17">
        <f t="shared" si="9"/>
        <v>89.234287751371596</v>
      </c>
      <c r="DW42" s="17">
        <f t="shared" si="9"/>
        <v>86.058605053388348</v>
      </c>
      <c r="DX42" s="17">
        <f t="shared" si="9"/>
        <v>82.882926860962314</v>
      </c>
      <c r="DY42" s="17">
        <f t="shared" si="9"/>
        <v>79.707252999149887</v>
      </c>
      <c r="DZ42" s="17">
        <f t="shared" si="9"/>
        <v>76.531583247053732</v>
      </c>
      <c r="EA42" s="17">
        <f t="shared" si="9"/>
        <v>73.355917339144199</v>
      </c>
      <c r="EB42" s="17">
        <f t="shared" si="9"/>
        <v>70.180254967878113</v>
      </c>
      <c r="EC42" s="17">
        <f t="shared" si="9"/>
        <v>67.004595786991558</v>
      </c>
      <c r="ED42" s="17">
        <f t="shared" si="9"/>
        <v>63.828939415273275</v>
      </c>
      <c r="EE42" s="17">
        <f t="shared" si="9"/>
        <v>60.653285440736134</v>
      </c>
      <c r="EF42" s="17">
        <f t="shared" si="9"/>
        <v>57.477633425129468</v>
      </c>
      <c r="EG42" s="17">
        <f t="shared" si="9"/>
        <v>54.301982908740257</v>
      </c>
      <c r="EH42" s="17">
        <f t="shared" si="9"/>
        <v>51.126333415429812</v>
      </c>
    </row>
    <row r="43" spans="5:138" ht="15.6" x14ac:dyDescent="0.3">
      <c r="E43" s="25"/>
      <c r="F43" s="15">
        <v>8.666666666666667E-2</v>
      </c>
      <c r="G43" s="7">
        <f t="shared" si="10"/>
        <v>300</v>
      </c>
      <c r="H43" s="7">
        <f t="shared" si="11"/>
        <v>293.33323995443419</v>
      </c>
      <c r="I43" s="7">
        <f t="shared" si="6"/>
        <v>286.66648093194715</v>
      </c>
      <c r="J43" s="7">
        <f t="shared" si="6"/>
        <v>279.99972394440852</v>
      </c>
      <c r="K43" s="7">
        <f t="shared" si="6"/>
        <v>273.33296998139281</v>
      </c>
      <c r="L43" s="7">
        <f t="shared" si="6"/>
        <v>266.66621999933693</v>
      </c>
      <c r="M43" s="7">
        <f t="shared" si="6"/>
        <v>259.99947491106184</v>
      </c>
      <c r="N43" s="7">
        <f t="shared" si="6"/>
        <v>253.3327355757711</v>
      </c>
      <c r="O43" s="7">
        <f t="shared" si="6"/>
        <v>246.66600278963725</v>
      </c>
      <c r="P43" s="7">
        <f t="shared" si="6"/>
        <v>239.9992772770791</v>
      </c>
      <c r="Q43" s="7">
        <f t="shared" si="6"/>
        <v>233.33255968282447</v>
      </c>
      <c r="R43" s="7">
        <f t="shared" si="6"/>
        <v>226.66585056484672</v>
      </c>
      <c r="S43" s="7">
        <f t="shared" si="6"/>
        <v>219.99915038825128</v>
      </c>
      <c r="T43" s="7">
        <f t="shared" si="6"/>
        <v>213.33245952017995</v>
      </c>
      <c r="U43" s="7">
        <f t="shared" si="6"/>
        <v>206.66577822578842</v>
      </c>
      <c r="V43" s="7">
        <f t="shared" si="6"/>
        <v>199.999106665341</v>
      </c>
      <c r="W43" s="7">
        <f t="shared" si="6"/>
        <v>193.3324448924551</v>
      </c>
      <c r="X43" s="7">
        <f t="shared" si="6"/>
        <v>186.66579285351338</v>
      </c>
      <c r="Y43" s="7">
        <f t="shared" si="6"/>
        <v>179.99915038825137</v>
      </c>
      <c r="Z43" s="7">
        <f t="shared" si="6"/>
        <v>173.33251723151352</v>
      </c>
      <c r="AA43" s="7">
        <f t="shared" si="6"/>
        <v>166.66589301615795</v>
      </c>
      <c r="AB43" s="7">
        <f t="shared" si="6"/>
        <v>159.99927727707933</v>
      </c>
      <c r="AC43" s="7">
        <f t="shared" si="6"/>
        <v>153.33266945630427</v>
      </c>
      <c r="AD43" s="7">
        <f t="shared" si="6"/>
        <v>146.66606890910481</v>
      </c>
      <c r="AE43" s="7">
        <f t="shared" si="6"/>
        <v>139.99947491106224</v>
      </c>
      <c r="AF43" s="7">
        <f t="shared" si="6"/>
        <v>133.33288666600399</v>
      </c>
      <c r="AG43" s="7">
        <f t="shared" si="6"/>
        <v>126.66630331472643</v>
      </c>
      <c r="AH43" s="7">
        <f t="shared" si="6"/>
        <v>119.9997239444088</v>
      </c>
      <c r="AI43" s="7">
        <f t="shared" si="12"/>
        <v>113.33314759861399</v>
      </c>
      <c r="AJ43" s="7">
        <f t="shared" si="12"/>
        <v>106.66657328776762</v>
      </c>
      <c r="AK43" s="7">
        <f t="shared" si="13"/>
        <v>100</v>
      </c>
      <c r="AL43" s="25"/>
      <c r="AM43" s="15">
        <v>8.666666666666667E-2</v>
      </c>
      <c r="AN43" s="26">
        <f t="shared" si="14"/>
        <v>-538200000</v>
      </c>
      <c r="AO43" s="26">
        <f t="shared" si="14"/>
        <v>-526239828.2427091</v>
      </c>
      <c r="AP43" s="26">
        <f t="shared" si="7"/>
        <v>-514279658.36722672</v>
      </c>
      <c r="AQ43" s="26">
        <f t="shared" si="7"/>
        <v>-502319492.23474449</v>
      </c>
      <c r="AR43" s="26">
        <f t="shared" si="7"/>
        <v>-490359331.66544473</v>
      </c>
      <c r="AS43" s="26">
        <f t="shared" si="7"/>
        <v>-478399178.41855824</v>
      </c>
      <c r="AT43" s="26">
        <f t="shared" si="7"/>
        <v>-466439034.17309004</v>
      </c>
      <c r="AU43" s="26">
        <f t="shared" si="7"/>
        <v>-454478900.50942367</v>
      </c>
      <c r="AV43" s="26">
        <f t="shared" si="7"/>
        <v>-442518778.89200598</v>
      </c>
      <c r="AW43" s="26">
        <f t="shared" si="7"/>
        <v>-430558670.65330321</v>
      </c>
      <c r="AX43" s="26">
        <f t="shared" si="7"/>
        <v>-418598576.9792009</v>
      </c>
      <c r="AY43" s="26">
        <f t="shared" si="7"/>
        <v>-406638498.89601225</v>
      </c>
      <c r="AZ43" s="26">
        <f t="shared" si="7"/>
        <v>-394678437.25923294</v>
      </c>
      <c r="BA43" s="26">
        <f t="shared" si="7"/>
        <v>-382718392.74416858</v>
      </c>
      <c r="BB43" s="26">
        <f t="shared" si="7"/>
        <v>-370758365.83853549</v>
      </c>
      <c r="BC43" s="26">
        <f t="shared" si="7"/>
        <v>-358798356.83711731</v>
      </c>
      <c r="BD43" s="26">
        <f t="shared" si="7"/>
        <v>-346838365.83853555</v>
      </c>
      <c r="BE43" s="26">
        <f t="shared" si="7"/>
        <v>-334878392.74416882</v>
      </c>
      <c r="BF43" s="26">
        <f t="shared" si="7"/>
        <v>-322918437.25923318</v>
      </c>
      <c r="BG43" s="26">
        <f t="shared" si="7"/>
        <v>-310958498.89601249</v>
      </c>
      <c r="BH43" s="26">
        <f t="shared" si="7"/>
        <v>-298998576.97920114</v>
      </c>
      <c r="BI43" s="26">
        <f t="shared" si="7"/>
        <v>-287038670.65330356</v>
      </c>
      <c r="BJ43" s="26">
        <f t="shared" si="7"/>
        <v>-275078778.89200664</v>
      </c>
      <c r="BK43" s="26">
        <f t="shared" si="7"/>
        <v>-263118900.50942427</v>
      </c>
      <c r="BL43" s="26">
        <f t="shared" si="7"/>
        <v>-251159034.17309067</v>
      </c>
      <c r="BM43" s="26">
        <f t="shared" si="7"/>
        <v>-239199178.41855887</v>
      </c>
      <c r="BN43" s="26">
        <f t="shared" si="7"/>
        <v>-227239331.6654453</v>
      </c>
      <c r="BO43" s="26">
        <f t="shared" si="7"/>
        <v>-215279492.23474488</v>
      </c>
      <c r="BP43" s="26">
        <f t="shared" si="7"/>
        <v>-203319658.36722693</v>
      </c>
      <c r="BQ43" s="26">
        <f t="shared" si="7"/>
        <v>-191359828.24270904</v>
      </c>
      <c r="BR43" s="26">
        <f t="shared" si="7"/>
        <v>-179400000</v>
      </c>
      <c r="BS43" s="7"/>
      <c r="BT43" s="25"/>
      <c r="BU43" s="15">
        <v>8.666666666666667E-2</v>
      </c>
      <c r="BV43" s="17">
        <v>0</v>
      </c>
      <c r="BW43" s="17">
        <f t="shared" si="15"/>
        <v>0.41095890410958902</v>
      </c>
      <c r="BX43" s="17">
        <f t="shared" si="15"/>
        <v>0.49446827726349057</v>
      </c>
      <c r="BY43" s="17">
        <f t="shared" si="15"/>
        <v>0.51576565211146774</v>
      </c>
      <c r="BZ43" s="17">
        <f t="shared" si="15"/>
        <v>0.52149397895713612</v>
      </c>
      <c r="CA43" s="17">
        <f t="shared" si="15"/>
        <v>0.52305649933975962</v>
      </c>
      <c r="CB43" s="17">
        <f t="shared" si="15"/>
        <v>0.52348433598989241</v>
      </c>
      <c r="CC43" s="17">
        <f t="shared" si="15"/>
        <v>0.52360160483419294</v>
      </c>
      <c r="CD43" s="17">
        <f t="shared" si="15"/>
        <v>0.52363375707534621</v>
      </c>
      <c r="CE43" s="17">
        <f t="shared" si="15"/>
        <v>0.52364257312109652</v>
      </c>
      <c r="CF43" s="17">
        <f t="shared" si="15"/>
        <v>0.5236449905056163</v>
      </c>
      <c r="CG43" s="17">
        <f t="shared" si="15"/>
        <v>0.52364565336314417</v>
      </c>
      <c r="CH43" s="17">
        <f t="shared" si="15"/>
        <v>0.52364583512190344</v>
      </c>
      <c r="CI43" s="17">
        <f t="shared" si="15"/>
        <v>0.52364588496106157</v>
      </c>
      <c r="CJ43" s="17">
        <f t="shared" si="15"/>
        <v>0.52364589862720901</v>
      </c>
      <c r="CK43" s="17">
        <f t="shared" si="15"/>
        <v>0.52364590237453534</v>
      </c>
      <c r="CL43" s="17">
        <f t="shared" si="15"/>
        <v>0.52364590340207107</v>
      </c>
      <c r="CM43" s="17">
        <f t="shared" si="15"/>
        <v>0.52364590368382657</v>
      </c>
      <c r="CN43" s="17">
        <f t="shared" si="15"/>
        <v>0.52364590376108522</v>
      </c>
      <c r="CO43" s="17">
        <f t="shared" si="15"/>
        <v>0.52364590378227005</v>
      </c>
      <c r="CP43" s="17">
        <f t="shared" si="15"/>
        <v>0.52364590378807896</v>
      </c>
      <c r="CQ43" s="17">
        <f t="shared" si="15"/>
        <v>0.5236459037896718</v>
      </c>
      <c r="CR43" s="17">
        <f t="shared" si="15"/>
        <v>0.52364590379010867</v>
      </c>
      <c r="CS43" s="17">
        <f t="shared" si="15"/>
        <v>0.52364590379022846</v>
      </c>
      <c r="CT43" s="17">
        <f t="shared" si="15"/>
        <v>0.52364590379026121</v>
      </c>
      <c r="CU43" s="17">
        <f t="shared" si="15"/>
        <v>0.52364590379027021</v>
      </c>
      <c r="CV43" s="17">
        <f t="shared" si="15"/>
        <v>0.52364590379027265</v>
      </c>
      <c r="CW43" s="17">
        <f t="shared" si="15"/>
        <v>0.52364590379027331</v>
      </c>
      <c r="CX43" s="17">
        <f t="shared" si="15"/>
        <v>0.52364590379027354</v>
      </c>
      <c r="CY43" s="17">
        <f t="shared" si="15"/>
        <v>0.52364590379027354</v>
      </c>
      <c r="CZ43" s="17">
        <f t="shared" si="16"/>
        <v>100</v>
      </c>
      <c r="DA43" s="7"/>
      <c r="DB43" s="25"/>
      <c r="DC43" s="15">
        <v>8.666666666666667E-2</v>
      </c>
      <c r="DD43" s="17">
        <f t="shared" si="17"/>
        <v>300</v>
      </c>
      <c r="DE43" s="17">
        <f t="shared" si="18"/>
        <v>175.52509710568881</v>
      </c>
      <c r="DF43" s="17">
        <f t="shared" si="9"/>
        <v>148.21549979890253</v>
      </c>
      <c r="DG43" s="17">
        <f t="shared" si="9"/>
        <v>139.02396643839126</v>
      </c>
      <c r="DH43" s="17">
        <f t="shared" si="9"/>
        <v>134.26814186047955</v>
      </c>
      <c r="DI43" s="17">
        <f t="shared" si="9"/>
        <v>130.67180482218126</v>
      </c>
      <c r="DJ43" s="17">
        <f t="shared" si="9"/>
        <v>127.38375604367631</v>
      </c>
      <c r="DK43" s="17">
        <f t="shared" si="9"/>
        <v>124.17802065708152</v>
      </c>
      <c r="DL43" s="17">
        <f t="shared" si="9"/>
        <v>120.99427953367255</v>
      </c>
      <c r="DM43" s="17">
        <f t="shared" si="9"/>
        <v>117.81641533183307</v>
      </c>
      <c r="DN43" s="17">
        <f t="shared" si="9"/>
        <v>114.64012251584788</v>
      </c>
      <c r="DO43" s="17">
        <f t="shared" si="9"/>
        <v>111.46425172045427</v>
      </c>
      <c r="DP43" s="17">
        <f t="shared" si="9"/>
        <v>108.288496464197</v>
      </c>
      <c r="DQ43" s="17">
        <f t="shared" si="9"/>
        <v>105.11277518997049</v>
      </c>
      <c r="DR43" s="17">
        <f t="shared" si="9"/>
        <v>101.93706629137688</v>
      </c>
      <c r="DS43" s="17">
        <f t="shared" si="9"/>
        <v>98.761364101356236</v>
      </c>
      <c r="DT43" s="17">
        <f t="shared" si="9"/>
        <v>95.585667159413234</v>
      </c>
      <c r="DU43" s="17">
        <f t="shared" si="9"/>
        <v>92.409975086136484</v>
      </c>
      <c r="DV43" s="17">
        <f t="shared" si="9"/>
        <v>89.234287751371596</v>
      </c>
      <c r="DW43" s="17">
        <f t="shared" si="9"/>
        <v>86.058605053388348</v>
      </c>
      <c r="DX43" s="17">
        <f t="shared" si="9"/>
        <v>82.882926860962314</v>
      </c>
      <c r="DY43" s="17">
        <f t="shared" si="9"/>
        <v>79.707252999149887</v>
      </c>
      <c r="DZ43" s="17">
        <f t="shared" si="9"/>
        <v>76.531583247053732</v>
      </c>
      <c r="EA43" s="17">
        <f t="shared" si="9"/>
        <v>73.355917339144199</v>
      </c>
      <c r="EB43" s="17">
        <f t="shared" si="9"/>
        <v>70.180254967878113</v>
      </c>
      <c r="EC43" s="17">
        <f t="shared" si="9"/>
        <v>67.004595786991558</v>
      </c>
      <c r="ED43" s="17">
        <f t="shared" si="9"/>
        <v>63.828939415273275</v>
      </c>
      <c r="EE43" s="17">
        <f t="shared" si="9"/>
        <v>60.653285440736134</v>
      </c>
      <c r="EF43" s="17">
        <f t="shared" si="9"/>
        <v>57.477633425129468</v>
      </c>
      <c r="EG43" s="17">
        <f t="shared" si="9"/>
        <v>54.301982908740257</v>
      </c>
      <c r="EH43" s="17">
        <f t="shared" si="9"/>
        <v>51.126333415429812</v>
      </c>
    </row>
    <row r="44" spans="5:138" ht="15.6" x14ac:dyDescent="0.3">
      <c r="E44" s="25"/>
      <c r="F44" s="15">
        <v>8.3333333333333343E-2</v>
      </c>
      <c r="G44" s="7">
        <f t="shared" si="10"/>
        <v>300</v>
      </c>
      <c r="H44" s="7">
        <f t="shared" si="11"/>
        <v>293.33323995443419</v>
      </c>
      <c r="I44" s="7">
        <f t="shared" si="6"/>
        <v>286.66648093194715</v>
      </c>
      <c r="J44" s="7">
        <f t="shared" si="6"/>
        <v>279.99972394440852</v>
      </c>
      <c r="K44" s="7">
        <f t="shared" si="6"/>
        <v>273.33296998139281</v>
      </c>
      <c r="L44" s="7">
        <f t="shared" si="6"/>
        <v>266.66621999933693</v>
      </c>
      <c r="M44" s="7">
        <f t="shared" si="6"/>
        <v>259.99947491106184</v>
      </c>
      <c r="N44" s="7">
        <f t="shared" si="6"/>
        <v>253.3327355757711</v>
      </c>
      <c r="O44" s="7">
        <f t="shared" si="6"/>
        <v>246.66600278963725</v>
      </c>
      <c r="P44" s="7">
        <f t="shared" si="6"/>
        <v>239.9992772770791</v>
      </c>
      <c r="Q44" s="7">
        <f t="shared" si="6"/>
        <v>233.33255968282447</v>
      </c>
      <c r="R44" s="7">
        <f t="shared" si="6"/>
        <v>226.66585056484672</v>
      </c>
      <c r="S44" s="7">
        <f t="shared" si="6"/>
        <v>219.99915038825128</v>
      </c>
      <c r="T44" s="7">
        <f t="shared" si="6"/>
        <v>213.33245952017992</v>
      </c>
      <c r="U44" s="7">
        <f t="shared" si="6"/>
        <v>206.66577822578839</v>
      </c>
      <c r="V44" s="7">
        <f t="shared" si="6"/>
        <v>199.999106665341</v>
      </c>
      <c r="W44" s="7">
        <f t="shared" si="6"/>
        <v>193.3324448924551</v>
      </c>
      <c r="X44" s="7">
        <f t="shared" si="6"/>
        <v>186.66579285351335</v>
      </c>
      <c r="Y44" s="7">
        <f t="shared" si="6"/>
        <v>179.99915038825137</v>
      </c>
      <c r="Z44" s="7">
        <f t="shared" si="6"/>
        <v>173.33251723151352</v>
      </c>
      <c r="AA44" s="7">
        <f t="shared" si="6"/>
        <v>166.66589301615795</v>
      </c>
      <c r="AB44" s="7">
        <f t="shared" si="6"/>
        <v>159.99927727707933</v>
      </c>
      <c r="AC44" s="7">
        <f t="shared" si="6"/>
        <v>153.33266945630427</v>
      </c>
      <c r="AD44" s="7">
        <f t="shared" si="6"/>
        <v>146.66606890910481</v>
      </c>
      <c r="AE44" s="7">
        <f t="shared" si="6"/>
        <v>139.99947491106224</v>
      </c>
      <c r="AF44" s="7">
        <f t="shared" si="6"/>
        <v>133.33288666600399</v>
      </c>
      <c r="AG44" s="7">
        <f t="shared" si="6"/>
        <v>126.66630331472643</v>
      </c>
      <c r="AH44" s="7">
        <f t="shared" si="6"/>
        <v>119.9997239444088</v>
      </c>
      <c r="AI44" s="7">
        <f t="shared" si="12"/>
        <v>113.33314759861399</v>
      </c>
      <c r="AJ44" s="7">
        <f t="shared" si="12"/>
        <v>106.66657328776762</v>
      </c>
      <c r="AK44" s="7">
        <f t="shared" si="13"/>
        <v>100</v>
      </c>
      <c r="AL44" s="25"/>
      <c r="AM44" s="15">
        <v>8.3333333333333343E-2</v>
      </c>
      <c r="AN44" s="26">
        <f t="shared" si="14"/>
        <v>-538200000</v>
      </c>
      <c r="AO44" s="26">
        <f t="shared" si="14"/>
        <v>-526239828.2427091</v>
      </c>
      <c r="AP44" s="26">
        <f t="shared" si="7"/>
        <v>-514279658.36722672</v>
      </c>
      <c r="AQ44" s="26">
        <f t="shared" si="7"/>
        <v>-502319492.23474449</v>
      </c>
      <c r="AR44" s="26">
        <f t="shared" si="7"/>
        <v>-490359331.66544473</v>
      </c>
      <c r="AS44" s="26">
        <f t="shared" si="7"/>
        <v>-478399178.41855812</v>
      </c>
      <c r="AT44" s="26">
        <f t="shared" si="7"/>
        <v>-466439034.17308992</v>
      </c>
      <c r="AU44" s="26">
        <f t="shared" si="7"/>
        <v>-454478900.50942367</v>
      </c>
      <c r="AV44" s="26">
        <f t="shared" si="7"/>
        <v>-442518778.89200598</v>
      </c>
      <c r="AW44" s="26">
        <f t="shared" si="7"/>
        <v>-430558670.65330321</v>
      </c>
      <c r="AX44" s="26">
        <f t="shared" si="7"/>
        <v>-418598576.9792009</v>
      </c>
      <c r="AY44" s="26">
        <f t="shared" si="7"/>
        <v>-406638498.89601225</v>
      </c>
      <c r="AZ44" s="26">
        <f t="shared" si="7"/>
        <v>-394678437.25923294</v>
      </c>
      <c r="BA44" s="26">
        <f t="shared" si="7"/>
        <v>-382718392.74416852</v>
      </c>
      <c r="BB44" s="26">
        <f t="shared" si="7"/>
        <v>-370758365.83853543</v>
      </c>
      <c r="BC44" s="26">
        <f t="shared" si="7"/>
        <v>-358798356.83711731</v>
      </c>
      <c r="BD44" s="26">
        <f t="shared" si="7"/>
        <v>-346838365.83853549</v>
      </c>
      <c r="BE44" s="26">
        <f t="shared" si="7"/>
        <v>-334878392.74416882</v>
      </c>
      <c r="BF44" s="26">
        <f t="shared" si="7"/>
        <v>-322918437.25923318</v>
      </c>
      <c r="BG44" s="26">
        <f t="shared" si="7"/>
        <v>-310958498.89601249</v>
      </c>
      <c r="BH44" s="26">
        <f t="shared" si="7"/>
        <v>-298998576.97920114</v>
      </c>
      <c r="BI44" s="26">
        <f t="shared" si="7"/>
        <v>-287038670.65330356</v>
      </c>
      <c r="BJ44" s="26">
        <f t="shared" si="7"/>
        <v>-275078778.89200664</v>
      </c>
      <c r="BK44" s="26">
        <f t="shared" si="7"/>
        <v>-263118900.50942427</v>
      </c>
      <c r="BL44" s="26">
        <f t="shared" si="7"/>
        <v>-251159034.17309067</v>
      </c>
      <c r="BM44" s="26">
        <f t="shared" si="7"/>
        <v>-239199178.41855887</v>
      </c>
      <c r="BN44" s="26">
        <f t="shared" si="7"/>
        <v>-227239331.66544524</v>
      </c>
      <c r="BO44" s="26">
        <f t="shared" si="7"/>
        <v>-215279492.23474488</v>
      </c>
      <c r="BP44" s="26">
        <f t="shared" si="7"/>
        <v>-203319658.36722693</v>
      </c>
      <c r="BQ44" s="26">
        <f t="shared" si="7"/>
        <v>-191359828.24270904</v>
      </c>
      <c r="BR44" s="26">
        <f t="shared" si="7"/>
        <v>-179400000</v>
      </c>
      <c r="BS44" s="7"/>
      <c r="BT44" s="25"/>
      <c r="BU44" s="15">
        <v>8.3333333333333343E-2</v>
      </c>
      <c r="BV44" s="17">
        <v>0</v>
      </c>
      <c r="BW44" s="17">
        <f t="shared" si="15"/>
        <v>0.41095890410958902</v>
      </c>
      <c r="BX44" s="17">
        <f t="shared" si="15"/>
        <v>0.49446827726349057</v>
      </c>
      <c r="BY44" s="17">
        <f t="shared" si="15"/>
        <v>0.51576565211146774</v>
      </c>
      <c r="BZ44" s="17">
        <f t="shared" si="15"/>
        <v>0.52149397895713612</v>
      </c>
      <c r="CA44" s="17">
        <f t="shared" si="15"/>
        <v>0.52305649933975962</v>
      </c>
      <c r="CB44" s="17">
        <f t="shared" si="15"/>
        <v>0.52348433598989241</v>
      </c>
      <c r="CC44" s="17">
        <f t="shared" si="15"/>
        <v>0.52360160483419294</v>
      </c>
      <c r="CD44" s="17">
        <f t="shared" si="15"/>
        <v>0.52363375707534621</v>
      </c>
      <c r="CE44" s="17">
        <f t="shared" si="15"/>
        <v>0.52364257312109652</v>
      </c>
      <c r="CF44" s="17">
        <f t="shared" si="15"/>
        <v>0.5236449905056163</v>
      </c>
      <c r="CG44" s="17">
        <f t="shared" si="15"/>
        <v>0.52364565336314417</v>
      </c>
      <c r="CH44" s="17">
        <f t="shared" si="15"/>
        <v>0.52364583512190344</v>
      </c>
      <c r="CI44" s="17">
        <f t="shared" si="15"/>
        <v>0.52364588496106157</v>
      </c>
      <c r="CJ44" s="17">
        <f t="shared" si="15"/>
        <v>0.52364589862720901</v>
      </c>
      <c r="CK44" s="17">
        <f t="shared" si="15"/>
        <v>0.52364590237453534</v>
      </c>
      <c r="CL44" s="17">
        <f t="shared" si="15"/>
        <v>0.52364590340207107</v>
      </c>
      <c r="CM44" s="17">
        <f t="shared" si="15"/>
        <v>0.52364590368382657</v>
      </c>
      <c r="CN44" s="17">
        <f t="shared" si="15"/>
        <v>0.52364590376108522</v>
      </c>
      <c r="CO44" s="17">
        <f t="shared" si="15"/>
        <v>0.52364590378227005</v>
      </c>
      <c r="CP44" s="17">
        <f t="shared" si="15"/>
        <v>0.52364590378807896</v>
      </c>
      <c r="CQ44" s="17">
        <f t="shared" si="15"/>
        <v>0.5236459037896718</v>
      </c>
      <c r="CR44" s="17">
        <f t="shared" si="15"/>
        <v>0.52364590379010867</v>
      </c>
      <c r="CS44" s="17">
        <f t="shared" si="15"/>
        <v>0.52364590379022846</v>
      </c>
      <c r="CT44" s="17">
        <f t="shared" si="15"/>
        <v>0.52364590379026121</v>
      </c>
      <c r="CU44" s="17">
        <f t="shared" si="15"/>
        <v>0.52364590379027021</v>
      </c>
      <c r="CV44" s="17">
        <f t="shared" si="15"/>
        <v>0.52364590379027265</v>
      </c>
      <c r="CW44" s="17">
        <f t="shared" si="15"/>
        <v>0.52364590379027331</v>
      </c>
      <c r="CX44" s="17">
        <f t="shared" si="15"/>
        <v>0.52364590379027354</v>
      </c>
      <c r="CY44" s="17">
        <f t="shared" si="15"/>
        <v>0.52364590379027354</v>
      </c>
      <c r="CZ44" s="17">
        <f t="shared" si="16"/>
        <v>100</v>
      </c>
      <c r="DA44" s="7"/>
      <c r="DB44" s="25"/>
      <c r="DC44" s="15">
        <v>8.3333333333333343E-2</v>
      </c>
      <c r="DD44" s="17">
        <f t="shared" si="17"/>
        <v>300</v>
      </c>
      <c r="DE44" s="17">
        <f t="shared" si="18"/>
        <v>175.52509710568881</v>
      </c>
      <c r="DF44" s="17">
        <f t="shared" si="9"/>
        <v>148.21549979890253</v>
      </c>
      <c r="DG44" s="17">
        <f t="shared" si="9"/>
        <v>139.02396643839126</v>
      </c>
      <c r="DH44" s="17">
        <f t="shared" si="9"/>
        <v>134.26814186047955</v>
      </c>
      <c r="DI44" s="17">
        <f t="shared" si="9"/>
        <v>130.67180482218126</v>
      </c>
      <c r="DJ44" s="17">
        <f t="shared" si="9"/>
        <v>127.38375604367631</v>
      </c>
      <c r="DK44" s="17">
        <f t="shared" si="9"/>
        <v>124.17802065708152</v>
      </c>
      <c r="DL44" s="17">
        <f t="shared" si="9"/>
        <v>120.99427953367255</v>
      </c>
      <c r="DM44" s="17">
        <f t="shared" si="9"/>
        <v>117.81641533183307</v>
      </c>
      <c r="DN44" s="17">
        <f t="shared" si="9"/>
        <v>114.64012251584788</v>
      </c>
      <c r="DO44" s="17">
        <f t="shared" si="9"/>
        <v>111.46425172045427</v>
      </c>
      <c r="DP44" s="17">
        <f t="shared" si="9"/>
        <v>108.288496464197</v>
      </c>
      <c r="DQ44" s="17">
        <f t="shared" si="9"/>
        <v>105.11277518997048</v>
      </c>
      <c r="DR44" s="17">
        <f t="shared" si="9"/>
        <v>101.93706629137687</v>
      </c>
      <c r="DS44" s="17">
        <f t="shared" si="9"/>
        <v>98.761364101356236</v>
      </c>
      <c r="DT44" s="17">
        <f t="shared" si="9"/>
        <v>95.585667159413219</v>
      </c>
      <c r="DU44" s="17">
        <f t="shared" si="9"/>
        <v>92.40997508613647</v>
      </c>
      <c r="DV44" s="17">
        <f t="shared" si="9"/>
        <v>89.234287751371596</v>
      </c>
      <c r="DW44" s="17">
        <f t="shared" si="9"/>
        <v>86.058605053388348</v>
      </c>
      <c r="DX44" s="17">
        <f t="shared" si="9"/>
        <v>82.882926860962314</v>
      </c>
      <c r="DY44" s="17">
        <f t="shared" si="9"/>
        <v>79.707252999149887</v>
      </c>
      <c r="DZ44" s="17">
        <f t="shared" si="9"/>
        <v>76.531583247053732</v>
      </c>
      <c r="EA44" s="17">
        <f t="shared" si="9"/>
        <v>73.355917339144199</v>
      </c>
      <c r="EB44" s="17">
        <f t="shared" si="9"/>
        <v>70.180254967878113</v>
      </c>
      <c r="EC44" s="17">
        <f t="shared" si="9"/>
        <v>67.004595786991558</v>
      </c>
      <c r="ED44" s="17">
        <f t="shared" si="9"/>
        <v>63.828939415273275</v>
      </c>
      <c r="EE44" s="17">
        <f t="shared" si="9"/>
        <v>60.653285440736134</v>
      </c>
      <c r="EF44" s="17">
        <f t="shared" si="9"/>
        <v>57.477633425129468</v>
      </c>
      <c r="EG44" s="17">
        <f t="shared" si="9"/>
        <v>54.301982908740257</v>
      </c>
      <c r="EH44" s="17">
        <f t="shared" si="9"/>
        <v>51.126333415429812</v>
      </c>
    </row>
    <row r="45" spans="5:138" ht="15.6" x14ac:dyDescent="0.3">
      <c r="E45" s="25"/>
      <c r="F45" s="15">
        <v>0.08</v>
      </c>
      <c r="G45" s="7">
        <f t="shared" si="10"/>
        <v>300</v>
      </c>
      <c r="H45" s="7">
        <f t="shared" si="11"/>
        <v>293.33323995443419</v>
      </c>
      <c r="I45" s="7">
        <f t="shared" si="6"/>
        <v>286.66648093194715</v>
      </c>
      <c r="J45" s="7">
        <f t="shared" si="6"/>
        <v>279.99972394440852</v>
      </c>
      <c r="K45" s="7">
        <f t="shared" si="6"/>
        <v>273.33296998139281</v>
      </c>
      <c r="L45" s="7">
        <f t="shared" si="6"/>
        <v>266.66621999933693</v>
      </c>
      <c r="M45" s="7">
        <f t="shared" si="6"/>
        <v>259.99947491106184</v>
      </c>
      <c r="N45" s="7">
        <f t="shared" si="6"/>
        <v>253.3327355757711</v>
      </c>
      <c r="O45" s="7">
        <f t="shared" si="6"/>
        <v>246.66600278963725</v>
      </c>
      <c r="P45" s="7">
        <f t="shared" si="6"/>
        <v>239.9992772770791</v>
      </c>
      <c r="Q45" s="7">
        <f t="shared" si="6"/>
        <v>233.33255968282447</v>
      </c>
      <c r="R45" s="7">
        <f t="shared" si="6"/>
        <v>226.66585056484672</v>
      </c>
      <c r="S45" s="7">
        <f t="shared" si="6"/>
        <v>219.99915038825128</v>
      </c>
      <c r="T45" s="7">
        <f t="shared" si="6"/>
        <v>213.33245952017992</v>
      </c>
      <c r="U45" s="7">
        <f t="shared" si="6"/>
        <v>206.66577822578839</v>
      </c>
      <c r="V45" s="7">
        <f t="shared" si="6"/>
        <v>199.999106665341</v>
      </c>
      <c r="W45" s="7">
        <f t="shared" si="6"/>
        <v>193.3324448924551</v>
      </c>
      <c r="X45" s="7">
        <f t="shared" si="6"/>
        <v>186.66579285351335</v>
      </c>
      <c r="Y45" s="7">
        <f t="shared" si="6"/>
        <v>179.99915038825137</v>
      </c>
      <c r="Z45" s="7">
        <f t="shared" si="6"/>
        <v>173.33251723151352</v>
      </c>
      <c r="AA45" s="7">
        <f t="shared" si="6"/>
        <v>166.66589301615795</v>
      </c>
      <c r="AB45" s="7">
        <f t="shared" si="6"/>
        <v>159.99927727707933</v>
      </c>
      <c r="AC45" s="7">
        <f t="shared" si="6"/>
        <v>153.33266945630425</v>
      </c>
      <c r="AD45" s="7">
        <f t="shared" si="6"/>
        <v>146.66606890910475</v>
      </c>
      <c r="AE45" s="7">
        <f t="shared" si="6"/>
        <v>139.99947491106221</v>
      </c>
      <c r="AF45" s="7">
        <f t="shared" si="6"/>
        <v>133.33288666600396</v>
      </c>
      <c r="AG45" s="7">
        <f t="shared" si="6"/>
        <v>126.66630331472642</v>
      </c>
      <c r="AH45" s="7">
        <f t="shared" si="6"/>
        <v>119.99972394440879</v>
      </c>
      <c r="AI45" s="7">
        <f t="shared" si="12"/>
        <v>113.33314759861398</v>
      </c>
      <c r="AJ45" s="7">
        <f t="shared" si="12"/>
        <v>106.6665732877676</v>
      </c>
      <c r="AK45" s="7">
        <f t="shared" si="13"/>
        <v>100</v>
      </c>
      <c r="AL45" s="25"/>
      <c r="AM45" s="15">
        <v>0.08</v>
      </c>
      <c r="AN45" s="26">
        <f t="shared" si="14"/>
        <v>-538200000</v>
      </c>
      <c r="AO45" s="26">
        <f t="shared" si="14"/>
        <v>-526239828.2427091</v>
      </c>
      <c r="AP45" s="26">
        <f t="shared" si="7"/>
        <v>-514279658.36722672</v>
      </c>
      <c r="AQ45" s="26">
        <f t="shared" si="7"/>
        <v>-502319492.23474449</v>
      </c>
      <c r="AR45" s="26">
        <f t="shared" si="7"/>
        <v>-490359331.66544473</v>
      </c>
      <c r="AS45" s="26">
        <f t="shared" si="7"/>
        <v>-478399178.41855812</v>
      </c>
      <c r="AT45" s="26">
        <f t="shared" si="7"/>
        <v>-466439034.17308992</v>
      </c>
      <c r="AU45" s="26">
        <f t="shared" si="7"/>
        <v>-454478900.50942367</v>
      </c>
      <c r="AV45" s="26">
        <f t="shared" si="7"/>
        <v>-442518778.89200598</v>
      </c>
      <c r="AW45" s="26">
        <f t="shared" si="7"/>
        <v>-430558670.65330315</v>
      </c>
      <c r="AX45" s="26">
        <f t="shared" si="7"/>
        <v>-418598576.9792009</v>
      </c>
      <c r="AY45" s="26">
        <f t="shared" si="7"/>
        <v>-406638498.89601225</v>
      </c>
      <c r="AZ45" s="26">
        <f t="shared" si="7"/>
        <v>-394678437.25923294</v>
      </c>
      <c r="BA45" s="26">
        <f t="shared" si="7"/>
        <v>-382718392.74416852</v>
      </c>
      <c r="BB45" s="26">
        <f t="shared" si="7"/>
        <v>-370758365.83853543</v>
      </c>
      <c r="BC45" s="26">
        <f t="shared" si="7"/>
        <v>-358798356.83711731</v>
      </c>
      <c r="BD45" s="26">
        <f t="shared" si="7"/>
        <v>-346838365.83853549</v>
      </c>
      <c r="BE45" s="26">
        <f t="shared" si="7"/>
        <v>-334878392.74416882</v>
      </c>
      <c r="BF45" s="26">
        <f t="shared" si="7"/>
        <v>-322918437.25923318</v>
      </c>
      <c r="BG45" s="26">
        <f t="shared" si="7"/>
        <v>-310958498.89601249</v>
      </c>
      <c r="BH45" s="26">
        <f t="shared" si="7"/>
        <v>-298998576.97920114</v>
      </c>
      <c r="BI45" s="26">
        <f t="shared" si="7"/>
        <v>-287038670.65330356</v>
      </c>
      <c r="BJ45" s="26">
        <f t="shared" si="7"/>
        <v>-275078778.89200658</v>
      </c>
      <c r="BK45" s="26">
        <f t="shared" si="7"/>
        <v>-263118900.50942427</v>
      </c>
      <c r="BL45" s="26">
        <f t="shared" si="7"/>
        <v>-251159034.17309067</v>
      </c>
      <c r="BM45" s="26">
        <f t="shared" si="7"/>
        <v>-239199178.41855887</v>
      </c>
      <c r="BN45" s="26">
        <f t="shared" si="7"/>
        <v>-227239331.66544524</v>
      </c>
      <c r="BO45" s="26">
        <f t="shared" si="7"/>
        <v>-215279492.23474488</v>
      </c>
      <c r="BP45" s="26">
        <f t="shared" si="7"/>
        <v>-203319658.3672269</v>
      </c>
      <c r="BQ45" s="26">
        <f t="shared" si="7"/>
        <v>-191359828.24270904</v>
      </c>
      <c r="BR45" s="26">
        <f t="shared" si="7"/>
        <v>-179400000</v>
      </c>
      <c r="BS45" s="7"/>
      <c r="BT45" s="25"/>
      <c r="BU45" s="15">
        <v>0.08</v>
      </c>
      <c r="BV45" s="17">
        <v>0</v>
      </c>
      <c r="BW45" s="17">
        <f t="shared" si="15"/>
        <v>0.41095890410958902</v>
      </c>
      <c r="BX45" s="17">
        <f t="shared" si="15"/>
        <v>0.49446827726349057</v>
      </c>
      <c r="BY45" s="17">
        <f t="shared" si="15"/>
        <v>0.51576565211146774</v>
      </c>
      <c r="BZ45" s="17">
        <f t="shared" si="15"/>
        <v>0.52149397895713612</v>
      </c>
      <c r="CA45" s="17">
        <f t="shared" si="15"/>
        <v>0.52305649933975962</v>
      </c>
      <c r="CB45" s="17">
        <f t="shared" si="15"/>
        <v>0.52348433598989241</v>
      </c>
      <c r="CC45" s="17">
        <f t="shared" si="15"/>
        <v>0.52360160483419294</v>
      </c>
      <c r="CD45" s="17">
        <f t="shared" si="15"/>
        <v>0.52363375707534621</v>
      </c>
      <c r="CE45" s="17">
        <f t="shared" si="15"/>
        <v>0.52364257312109652</v>
      </c>
      <c r="CF45" s="17">
        <f t="shared" si="15"/>
        <v>0.5236449905056163</v>
      </c>
      <c r="CG45" s="17">
        <f t="shared" si="15"/>
        <v>0.52364565336314417</v>
      </c>
      <c r="CH45" s="17">
        <f t="shared" si="15"/>
        <v>0.52364583512190344</v>
      </c>
      <c r="CI45" s="17">
        <f t="shared" si="15"/>
        <v>0.52364588496106157</v>
      </c>
      <c r="CJ45" s="17">
        <f t="shared" si="15"/>
        <v>0.52364589862720901</v>
      </c>
      <c r="CK45" s="17">
        <f t="shared" si="15"/>
        <v>0.52364590237453534</v>
      </c>
      <c r="CL45" s="17">
        <f t="shared" si="15"/>
        <v>0.52364590340207107</v>
      </c>
      <c r="CM45" s="17">
        <f t="shared" si="15"/>
        <v>0.52364590368382657</v>
      </c>
      <c r="CN45" s="17">
        <f t="shared" si="15"/>
        <v>0.52364590376108522</v>
      </c>
      <c r="CO45" s="17">
        <f t="shared" si="15"/>
        <v>0.52364590378227005</v>
      </c>
      <c r="CP45" s="17">
        <f t="shared" si="15"/>
        <v>0.52364590378807896</v>
      </c>
      <c r="CQ45" s="17">
        <f t="shared" si="15"/>
        <v>0.5236459037896718</v>
      </c>
      <c r="CR45" s="17">
        <f t="shared" si="15"/>
        <v>0.52364590379010867</v>
      </c>
      <c r="CS45" s="17">
        <f t="shared" si="15"/>
        <v>0.52364590379022846</v>
      </c>
      <c r="CT45" s="17">
        <f t="shared" si="15"/>
        <v>0.52364590379026121</v>
      </c>
      <c r="CU45" s="17">
        <f t="shared" si="15"/>
        <v>0.52364590379027021</v>
      </c>
      <c r="CV45" s="17">
        <f t="shared" si="15"/>
        <v>0.52364590379027265</v>
      </c>
      <c r="CW45" s="17">
        <f t="shared" si="15"/>
        <v>0.52364590379027331</v>
      </c>
      <c r="CX45" s="17">
        <f t="shared" si="15"/>
        <v>0.52364590379027354</v>
      </c>
      <c r="CY45" s="17">
        <f t="shared" si="15"/>
        <v>0.52364590379027354</v>
      </c>
      <c r="CZ45" s="17">
        <f t="shared" si="16"/>
        <v>100</v>
      </c>
      <c r="DA45" s="7"/>
      <c r="DB45" s="25"/>
      <c r="DC45" s="15">
        <v>0.08</v>
      </c>
      <c r="DD45" s="17">
        <f t="shared" si="17"/>
        <v>300</v>
      </c>
      <c r="DE45" s="17">
        <f t="shared" si="18"/>
        <v>175.52509710568881</v>
      </c>
      <c r="DF45" s="17">
        <f t="shared" si="9"/>
        <v>148.21549979890253</v>
      </c>
      <c r="DG45" s="17">
        <f t="shared" si="9"/>
        <v>139.02396643839126</v>
      </c>
      <c r="DH45" s="17">
        <f t="shared" si="9"/>
        <v>134.26814186047955</v>
      </c>
      <c r="DI45" s="17">
        <f t="shared" si="9"/>
        <v>130.67180482218126</v>
      </c>
      <c r="DJ45" s="17">
        <f t="shared" si="9"/>
        <v>127.38375604367631</v>
      </c>
      <c r="DK45" s="17">
        <f t="shared" si="9"/>
        <v>124.17802065708152</v>
      </c>
      <c r="DL45" s="17">
        <f t="shared" si="9"/>
        <v>120.99427953367255</v>
      </c>
      <c r="DM45" s="17">
        <f t="shared" si="9"/>
        <v>117.81641533183306</v>
      </c>
      <c r="DN45" s="17">
        <f t="shared" si="9"/>
        <v>114.64012251584786</v>
      </c>
      <c r="DO45" s="17">
        <f t="shared" si="9"/>
        <v>111.46425172045427</v>
      </c>
      <c r="DP45" s="17">
        <f t="shared" si="9"/>
        <v>108.288496464197</v>
      </c>
      <c r="DQ45" s="17">
        <f t="shared" si="9"/>
        <v>105.11277518997048</v>
      </c>
      <c r="DR45" s="17">
        <f t="shared" si="9"/>
        <v>101.93706629137687</v>
      </c>
      <c r="DS45" s="17">
        <f t="shared" si="9"/>
        <v>98.761364101356236</v>
      </c>
      <c r="DT45" s="17">
        <f t="shared" si="9"/>
        <v>95.585667159413219</v>
      </c>
      <c r="DU45" s="17">
        <f t="shared" si="9"/>
        <v>92.40997508613647</v>
      </c>
      <c r="DV45" s="17">
        <f t="shared" si="9"/>
        <v>89.234287751371596</v>
      </c>
      <c r="DW45" s="17">
        <f t="shared" si="9"/>
        <v>86.058605053388348</v>
      </c>
      <c r="DX45" s="17">
        <f t="shared" si="9"/>
        <v>82.882926860962314</v>
      </c>
      <c r="DY45" s="17">
        <f t="shared" si="9"/>
        <v>79.707252999149887</v>
      </c>
      <c r="DZ45" s="17">
        <f t="shared" si="9"/>
        <v>76.531583247053717</v>
      </c>
      <c r="EA45" s="17">
        <f t="shared" si="9"/>
        <v>73.355917339144185</v>
      </c>
      <c r="EB45" s="17">
        <f t="shared" si="9"/>
        <v>70.180254967878099</v>
      </c>
      <c r="EC45" s="17">
        <f t="shared" si="9"/>
        <v>67.00459578699153</v>
      </c>
      <c r="ED45" s="17">
        <f t="shared" si="9"/>
        <v>63.828939415273261</v>
      </c>
      <c r="EE45" s="17">
        <f t="shared" si="9"/>
        <v>60.653285440736127</v>
      </c>
      <c r="EF45" s="17">
        <f t="shared" si="9"/>
        <v>57.477633425129461</v>
      </c>
      <c r="EG45" s="17">
        <f t="shared" si="9"/>
        <v>54.30198290874025</v>
      </c>
      <c r="EH45" s="17">
        <f t="shared" si="9"/>
        <v>51.126333415429805</v>
      </c>
    </row>
    <row r="46" spans="5:138" ht="15.6" x14ac:dyDescent="0.3">
      <c r="E46" s="25"/>
      <c r="F46" s="15">
        <v>7.6666666666666675E-2</v>
      </c>
      <c r="G46" s="7">
        <f t="shared" si="10"/>
        <v>300</v>
      </c>
      <c r="H46" s="7">
        <f t="shared" si="11"/>
        <v>293.33323995443419</v>
      </c>
      <c r="I46" s="7">
        <f t="shared" si="6"/>
        <v>286.66648093194715</v>
      </c>
      <c r="J46" s="7">
        <f t="shared" si="6"/>
        <v>279.99972394440852</v>
      </c>
      <c r="K46" s="7">
        <f t="shared" si="6"/>
        <v>273.33296998139281</v>
      </c>
      <c r="L46" s="7">
        <f t="shared" si="6"/>
        <v>266.66621999933693</v>
      </c>
      <c r="M46" s="7">
        <f t="shared" si="6"/>
        <v>259.99947491106184</v>
      </c>
      <c r="N46" s="7">
        <f t="shared" si="6"/>
        <v>253.3327355757711</v>
      </c>
      <c r="O46" s="7">
        <f t="shared" si="6"/>
        <v>246.66600278963728</v>
      </c>
      <c r="P46" s="7">
        <f t="shared" si="6"/>
        <v>239.9992772770791</v>
      </c>
      <c r="Q46" s="7">
        <f t="shared" si="6"/>
        <v>233.33255968282447</v>
      </c>
      <c r="R46" s="7">
        <f t="shared" si="6"/>
        <v>226.66585056484672</v>
      </c>
      <c r="S46" s="7">
        <f t="shared" si="6"/>
        <v>219.99915038825128</v>
      </c>
      <c r="T46" s="7">
        <f t="shared" si="6"/>
        <v>213.33245952017992</v>
      </c>
      <c r="U46" s="7">
        <f t="shared" si="6"/>
        <v>206.66577822578839</v>
      </c>
      <c r="V46" s="7">
        <f t="shared" si="6"/>
        <v>199.999106665341</v>
      </c>
      <c r="W46" s="7">
        <f t="shared" si="6"/>
        <v>193.3324448924551</v>
      </c>
      <c r="X46" s="7">
        <f t="shared" si="6"/>
        <v>186.66579285351338</v>
      </c>
      <c r="Y46" s="7">
        <f t="shared" si="6"/>
        <v>179.99915038825137</v>
      </c>
      <c r="Z46" s="7">
        <f t="shared" si="6"/>
        <v>173.33251723151352</v>
      </c>
      <c r="AA46" s="7">
        <f t="shared" si="6"/>
        <v>166.66589301615795</v>
      </c>
      <c r="AB46" s="7">
        <f t="shared" si="6"/>
        <v>159.99927727707933</v>
      </c>
      <c r="AC46" s="7">
        <f t="shared" si="6"/>
        <v>153.33266945630422</v>
      </c>
      <c r="AD46" s="7">
        <f t="shared" si="6"/>
        <v>146.66606890910475</v>
      </c>
      <c r="AE46" s="7">
        <f t="shared" si="6"/>
        <v>139.99947491106221</v>
      </c>
      <c r="AF46" s="7">
        <f t="shared" si="6"/>
        <v>133.33288666600396</v>
      </c>
      <c r="AG46" s="7">
        <f t="shared" si="6"/>
        <v>126.66630331472643</v>
      </c>
      <c r="AH46" s="7">
        <f t="shared" si="6"/>
        <v>119.9997239444088</v>
      </c>
      <c r="AI46" s="7">
        <f t="shared" si="12"/>
        <v>113.33314759861399</v>
      </c>
      <c r="AJ46" s="7">
        <f t="shared" si="12"/>
        <v>106.66657328776762</v>
      </c>
      <c r="AK46" s="7">
        <f t="shared" si="13"/>
        <v>100</v>
      </c>
      <c r="AL46" s="25"/>
      <c r="AM46" s="15">
        <v>7.6666666666666675E-2</v>
      </c>
      <c r="AN46" s="26">
        <f t="shared" si="14"/>
        <v>-538200000</v>
      </c>
      <c r="AO46" s="26">
        <f t="shared" si="14"/>
        <v>-526239828.2427091</v>
      </c>
      <c r="AP46" s="26">
        <f t="shared" si="7"/>
        <v>-514279658.36722672</v>
      </c>
      <c r="AQ46" s="26">
        <f t="shared" si="7"/>
        <v>-502319492.23474449</v>
      </c>
      <c r="AR46" s="26">
        <f t="shared" si="7"/>
        <v>-490359331.66544473</v>
      </c>
      <c r="AS46" s="26">
        <f t="shared" si="7"/>
        <v>-478399178.41855812</v>
      </c>
      <c r="AT46" s="26">
        <f t="shared" si="7"/>
        <v>-466439034.17309004</v>
      </c>
      <c r="AU46" s="26">
        <f t="shared" si="7"/>
        <v>-454478900.50942367</v>
      </c>
      <c r="AV46" s="26">
        <f t="shared" si="7"/>
        <v>-442518778.89200604</v>
      </c>
      <c r="AW46" s="26">
        <f t="shared" si="7"/>
        <v>-430558670.65330315</v>
      </c>
      <c r="AX46" s="26">
        <f t="shared" si="7"/>
        <v>-418598576.9792009</v>
      </c>
      <c r="AY46" s="26">
        <f t="shared" si="7"/>
        <v>-406638498.89601225</v>
      </c>
      <c r="AZ46" s="26">
        <f t="shared" si="7"/>
        <v>-394678437.25923294</v>
      </c>
      <c r="BA46" s="26">
        <f t="shared" si="7"/>
        <v>-382718392.74416852</v>
      </c>
      <c r="BB46" s="26">
        <f t="shared" si="7"/>
        <v>-370758365.83853543</v>
      </c>
      <c r="BC46" s="26">
        <f t="shared" si="7"/>
        <v>-358798356.83711731</v>
      </c>
      <c r="BD46" s="26">
        <f t="shared" si="7"/>
        <v>-346838365.83853555</v>
      </c>
      <c r="BE46" s="26">
        <f t="shared" si="7"/>
        <v>-334878392.74416882</v>
      </c>
      <c r="BF46" s="26">
        <f t="shared" si="7"/>
        <v>-322918437.25923318</v>
      </c>
      <c r="BG46" s="26">
        <f t="shared" si="7"/>
        <v>-310958498.89601249</v>
      </c>
      <c r="BH46" s="26">
        <f t="shared" si="7"/>
        <v>-298998576.97920114</v>
      </c>
      <c r="BI46" s="26">
        <f t="shared" si="7"/>
        <v>-287038670.65330356</v>
      </c>
      <c r="BJ46" s="26">
        <f t="shared" si="7"/>
        <v>-275078778.89200652</v>
      </c>
      <c r="BK46" s="26">
        <f t="shared" si="7"/>
        <v>-263118900.50942427</v>
      </c>
      <c r="BL46" s="26">
        <f t="shared" si="7"/>
        <v>-251159034.17309067</v>
      </c>
      <c r="BM46" s="26">
        <f t="shared" si="7"/>
        <v>-239199178.41855887</v>
      </c>
      <c r="BN46" s="26">
        <f t="shared" si="7"/>
        <v>-227239331.66544524</v>
      </c>
      <c r="BO46" s="26">
        <f t="shared" si="7"/>
        <v>-215279492.23474488</v>
      </c>
      <c r="BP46" s="26">
        <f t="shared" si="7"/>
        <v>-203319658.36722693</v>
      </c>
      <c r="BQ46" s="26">
        <f t="shared" si="7"/>
        <v>-191359828.24270904</v>
      </c>
      <c r="BR46" s="26">
        <f t="shared" si="7"/>
        <v>-179400000</v>
      </c>
      <c r="BS46" s="7"/>
      <c r="BT46" s="25"/>
      <c r="BU46" s="15">
        <v>7.6666666666666675E-2</v>
      </c>
      <c r="BV46" s="17">
        <v>0</v>
      </c>
      <c r="BW46" s="17">
        <f t="shared" si="15"/>
        <v>0.41095890410958902</v>
      </c>
      <c r="BX46" s="17">
        <f t="shared" si="15"/>
        <v>0.49446827726349057</v>
      </c>
      <c r="BY46" s="17">
        <f t="shared" si="15"/>
        <v>0.51576565211146774</v>
      </c>
      <c r="BZ46" s="17">
        <f t="shared" si="15"/>
        <v>0.52149397895713612</v>
      </c>
      <c r="CA46" s="17">
        <f t="shared" si="15"/>
        <v>0.52305649933975962</v>
      </c>
      <c r="CB46" s="17">
        <f t="shared" si="15"/>
        <v>0.52348433598989241</v>
      </c>
      <c r="CC46" s="17">
        <f t="shared" si="15"/>
        <v>0.52360160483419294</v>
      </c>
      <c r="CD46" s="17">
        <f t="shared" si="15"/>
        <v>0.52363375707534621</v>
      </c>
      <c r="CE46" s="17">
        <f t="shared" si="15"/>
        <v>0.52364257312109652</v>
      </c>
      <c r="CF46" s="17">
        <f t="shared" si="15"/>
        <v>0.5236449905056163</v>
      </c>
      <c r="CG46" s="17">
        <f t="shared" si="15"/>
        <v>0.52364565336314417</v>
      </c>
      <c r="CH46" s="17">
        <f t="shared" si="15"/>
        <v>0.52364583512190344</v>
      </c>
      <c r="CI46" s="17">
        <f t="shared" si="15"/>
        <v>0.52364588496106157</v>
      </c>
      <c r="CJ46" s="17">
        <f t="shared" si="15"/>
        <v>0.52364589862720901</v>
      </c>
      <c r="CK46" s="17">
        <f t="shared" si="15"/>
        <v>0.52364590237453534</v>
      </c>
      <c r="CL46" s="17">
        <f t="shared" si="15"/>
        <v>0.52364590340207107</v>
      </c>
      <c r="CM46" s="17">
        <f t="shared" si="15"/>
        <v>0.52364590368382657</v>
      </c>
      <c r="CN46" s="17">
        <f t="shared" si="15"/>
        <v>0.52364590376108522</v>
      </c>
      <c r="CO46" s="17">
        <f t="shared" si="15"/>
        <v>0.52364590378227005</v>
      </c>
      <c r="CP46" s="17">
        <f t="shared" si="15"/>
        <v>0.52364590378807896</v>
      </c>
      <c r="CQ46" s="17">
        <f t="shared" si="15"/>
        <v>0.5236459037896718</v>
      </c>
      <c r="CR46" s="17">
        <f t="shared" si="15"/>
        <v>0.52364590379010867</v>
      </c>
      <c r="CS46" s="17">
        <f t="shared" si="15"/>
        <v>0.52364590379022846</v>
      </c>
      <c r="CT46" s="17">
        <f t="shared" si="15"/>
        <v>0.52364590379026121</v>
      </c>
      <c r="CU46" s="17">
        <f t="shared" si="15"/>
        <v>0.52364590379027021</v>
      </c>
      <c r="CV46" s="17">
        <f t="shared" si="15"/>
        <v>0.52364590379027265</v>
      </c>
      <c r="CW46" s="17">
        <f t="shared" si="15"/>
        <v>0.52364590379027331</v>
      </c>
      <c r="CX46" s="17">
        <f t="shared" si="15"/>
        <v>0.52364590379027354</v>
      </c>
      <c r="CY46" s="17">
        <f t="shared" si="15"/>
        <v>0.52364590379027354</v>
      </c>
      <c r="CZ46" s="17">
        <f t="shared" si="16"/>
        <v>100</v>
      </c>
      <c r="DA46" s="7"/>
      <c r="DB46" s="25"/>
      <c r="DC46" s="15">
        <v>7.6666666666666675E-2</v>
      </c>
      <c r="DD46" s="17">
        <f t="shared" si="17"/>
        <v>300</v>
      </c>
      <c r="DE46" s="17">
        <f t="shared" si="18"/>
        <v>175.52509710568881</v>
      </c>
      <c r="DF46" s="17">
        <f t="shared" si="9"/>
        <v>148.21549979890253</v>
      </c>
      <c r="DG46" s="17">
        <f t="shared" si="9"/>
        <v>139.02396643839126</v>
      </c>
      <c r="DH46" s="17">
        <f t="shared" si="9"/>
        <v>134.26814186047955</v>
      </c>
      <c r="DI46" s="17">
        <f t="shared" si="9"/>
        <v>130.67180482218126</v>
      </c>
      <c r="DJ46" s="17">
        <f t="shared" si="9"/>
        <v>127.38375604367631</v>
      </c>
      <c r="DK46" s="17">
        <f t="shared" si="9"/>
        <v>124.17802065708152</v>
      </c>
      <c r="DL46" s="17">
        <f t="shared" si="9"/>
        <v>120.99427953367257</v>
      </c>
      <c r="DM46" s="17">
        <f t="shared" si="9"/>
        <v>117.81641533183307</v>
      </c>
      <c r="DN46" s="17">
        <f t="shared" si="9"/>
        <v>114.64012251584788</v>
      </c>
      <c r="DO46" s="17">
        <f t="shared" si="9"/>
        <v>111.46425172045427</v>
      </c>
      <c r="DP46" s="17">
        <f t="shared" si="9"/>
        <v>108.288496464197</v>
      </c>
      <c r="DQ46" s="17">
        <f t="shared" si="9"/>
        <v>105.11277518997048</v>
      </c>
      <c r="DR46" s="17">
        <f t="shared" si="9"/>
        <v>101.93706629137687</v>
      </c>
      <c r="DS46" s="17">
        <f t="shared" si="9"/>
        <v>98.761364101356236</v>
      </c>
      <c r="DT46" s="17">
        <f t="shared" si="9"/>
        <v>95.585667159413234</v>
      </c>
      <c r="DU46" s="17">
        <f t="shared" si="9"/>
        <v>92.409975086136484</v>
      </c>
      <c r="DV46" s="17">
        <f t="shared" si="9"/>
        <v>89.234287751371596</v>
      </c>
      <c r="DW46" s="17">
        <f t="shared" si="9"/>
        <v>86.058605053388348</v>
      </c>
      <c r="DX46" s="17">
        <f t="shared" si="9"/>
        <v>82.882926860962314</v>
      </c>
      <c r="DY46" s="17">
        <f t="shared" si="9"/>
        <v>79.707252999149887</v>
      </c>
      <c r="DZ46" s="17">
        <f t="shared" si="9"/>
        <v>76.531583247053703</v>
      </c>
      <c r="EA46" s="17">
        <f t="shared" si="9"/>
        <v>73.35591733914417</v>
      </c>
      <c r="EB46" s="17">
        <f t="shared" si="9"/>
        <v>70.180254967878099</v>
      </c>
      <c r="EC46" s="17">
        <f t="shared" si="9"/>
        <v>67.00459578699153</v>
      </c>
      <c r="ED46" s="17">
        <f t="shared" si="9"/>
        <v>63.828939415273261</v>
      </c>
      <c r="EE46" s="17">
        <f t="shared" si="9"/>
        <v>60.653285440736127</v>
      </c>
      <c r="EF46" s="17">
        <f t="shared" si="9"/>
        <v>57.477633425129468</v>
      </c>
      <c r="EG46" s="17">
        <f t="shared" si="9"/>
        <v>54.301982908740257</v>
      </c>
      <c r="EH46" s="17">
        <f t="shared" si="9"/>
        <v>51.126333415429812</v>
      </c>
    </row>
    <row r="47" spans="5:138" ht="15.6" x14ac:dyDescent="0.3">
      <c r="E47" s="25"/>
      <c r="F47" s="15">
        <v>7.3333333333333334E-2</v>
      </c>
      <c r="G47" s="7">
        <f t="shared" si="10"/>
        <v>300</v>
      </c>
      <c r="H47" s="7">
        <f t="shared" si="11"/>
        <v>293.33323995443419</v>
      </c>
      <c r="I47" s="7">
        <f t="shared" si="6"/>
        <v>286.66648093194715</v>
      </c>
      <c r="J47" s="7">
        <f t="shared" si="6"/>
        <v>279.99972394440852</v>
      </c>
      <c r="K47" s="7">
        <f t="shared" si="6"/>
        <v>273.33296998139281</v>
      </c>
      <c r="L47" s="7">
        <f t="shared" si="6"/>
        <v>266.66621999933693</v>
      </c>
      <c r="M47" s="7">
        <f t="shared" si="6"/>
        <v>259.99947491106184</v>
      </c>
      <c r="N47" s="7">
        <f t="shared" si="6"/>
        <v>253.33273557577107</v>
      </c>
      <c r="O47" s="7">
        <f t="shared" si="6"/>
        <v>246.66600278963722</v>
      </c>
      <c r="P47" s="7">
        <f t="shared" si="6"/>
        <v>239.99927727707907</v>
      </c>
      <c r="Q47" s="7">
        <f t="shared" si="6"/>
        <v>233.33255968282444</v>
      </c>
      <c r="R47" s="7">
        <f t="shared" si="6"/>
        <v>226.66585056484666</v>
      </c>
      <c r="S47" s="7">
        <f t="shared" si="6"/>
        <v>219.99915038825122</v>
      </c>
      <c r="T47" s="7">
        <f t="shared" si="6"/>
        <v>213.3324595201799</v>
      </c>
      <c r="U47" s="7">
        <f t="shared" si="6"/>
        <v>206.66577822578836</v>
      </c>
      <c r="V47" s="7">
        <f t="shared" si="6"/>
        <v>199.999106665341</v>
      </c>
      <c r="W47" s="7">
        <f t="shared" si="6"/>
        <v>193.3324448924551</v>
      </c>
      <c r="X47" s="7">
        <f t="shared" si="6"/>
        <v>186.66579285351335</v>
      </c>
      <c r="Y47" s="7">
        <f t="shared" si="6"/>
        <v>179.99915038825137</v>
      </c>
      <c r="Z47" s="7">
        <f t="shared" si="6"/>
        <v>173.33251723151352</v>
      </c>
      <c r="AA47" s="7">
        <f t="shared" si="6"/>
        <v>166.66589301615795</v>
      </c>
      <c r="AB47" s="7">
        <f t="shared" si="6"/>
        <v>159.99927727707933</v>
      </c>
      <c r="AC47" s="7">
        <f t="shared" si="6"/>
        <v>153.33266945630422</v>
      </c>
      <c r="AD47" s="7">
        <f t="shared" si="6"/>
        <v>146.66606890910475</v>
      </c>
      <c r="AE47" s="7">
        <f t="shared" si="6"/>
        <v>139.99947491106221</v>
      </c>
      <c r="AF47" s="7">
        <f t="shared" si="6"/>
        <v>133.33288666600396</v>
      </c>
      <c r="AG47" s="7">
        <f t="shared" si="6"/>
        <v>126.66630331472643</v>
      </c>
      <c r="AH47" s="7">
        <f t="shared" si="6"/>
        <v>119.9997239444088</v>
      </c>
      <c r="AI47" s="7">
        <f t="shared" si="12"/>
        <v>113.33314759861399</v>
      </c>
      <c r="AJ47" s="7">
        <f t="shared" si="12"/>
        <v>106.66657328776762</v>
      </c>
      <c r="AK47" s="7">
        <f t="shared" si="13"/>
        <v>100</v>
      </c>
      <c r="AL47" s="25"/>
      <c r="AM47" s="15">
        <v>7.3333333333333334E-2</v>
      </c>
      <c r="AN47" s="26">
        <f t="shared" si="14"/>
        <v>-538200000</v>
      </c>
      <c r="AO47" s="26">
        <f t="shared" si="14"/>
        <v>-526239828.2427091</v>
      </c>
      <c r="AP47" s="26">
        <f t="shared" si="7"/>
        <v>-514279658.36722672</v>
      </c>
      <c r="AQ47" s="26">
        <f t="shared" si="7"/>
        <v>-502319492.23474449</v>
      </c>
      <c r="AR47" s="26">
        <f t="shared" si="7"/>
        <v>-490359331.66544473</v>
      </c>
      <c r="AS47" s="26">
        <f t="shared" si="7"/>
        <v>-478399178.41855812</v>
      </c>
      <c r="AT47" s="26">
        <f t="shared" si="7"/>
        <v>-466439034.17309004</v>
      </c>
      <c r="AU47" s="26">
        <f t="shared" si="7"/>
        <v>-454478900.50942361</v>
      </c>
      <c r="AV47" s="26">
        <f t="shared" si="7"/>
        <v>-442518778.89200598</v>
      </c>
      <c r="AW47" s="26">
        <f t="shared" si="7"/>
        <v>-430558670.65330309</v>
      </c>
      <c r="AX47" s="26">
        <f t="shared" si="7"/>
        <v>-418598576.97920078</v>
      </c>
      <c r="AY47" s="26">
        <f t="shared" si="7"/>
        <v>-406638498.89601219</v>
      </c>
      <c r="AZ47" s="26">
        <f t="shared" si="7"/>
        <v>-394678437.25923294</v>
      </c>
      <c r="BA47" s="26">
        <f t="shared" si="7"/>
        <v>-382718392.74416852</v>
      </c>
      <c r="BB47" s="26">
        <f t="shared" si="7"/>
        <v>-370758365.83853531</v>
      </c>
      <c r="BC47" s="26">
        <f t="shared" si="7"/>
        <v>-358798356.83711725</v>
      </c>
      <c r="BD47" s="26">
        <f t="shared" si="7"/>
        <v>-346838365.83853549</v>
      </c>
      <c r="BE47" s="26">
        <f t="shared" si="7"/>
        <v>-334878392.74416876</v>
      </c>
      <c r="BF47" s="26">
        <f t="shared" si="7"/>
        <v>-322918437.25923318</v>
      </c>
      <c r="BG47" s="26">
        <f t="shared" si="7"/>
        <v>-310958498.89601249</v>
      </c>
      <c r="BH47" s="26">
        <f t="shared" si="7"/>
        <v>-298998576.97920114</v>
      </c>
      <c r="BI47" s="26">
        <f t="shared" si="7"/>
        <v>-287038670.65330356</v>
      </c>
      <c r="BJ47" s="26">
        <f t="shared" si="7"/>
        <v>-275078778.89200652</v>
      </c>
      <c r="BK47" s="26">
        <f t="shared" si="7"/>
        <v>-263118900.50942421</v>
      </c>
      <c r="BL47" s="26">
        <f t="shared" ref="BL47:BR69" si="19">-($B$12*$B$11)/$B$8*AE11</f>
        <v>-251159034.17309067</v>
      </c>
      <c r="BM47" s="26">
        <f t="shared" si="19"/>
        <v>-239199178.41855887</v>
      </c>
      <c r="BN47" s="26">
        <f t="shared" si="19"/>
        <v>-227239331.66544524</v>
      </c>
      <c r="BO47" s="26">
        <f t="shared" si="19"/>
        <v>-215279492.23474488</v>
      </c>
      <c r="BP47" s="26">
        <f t="shared" si="19"/>
        <v>-203319658.36722693</v>
      </c>
      <c r="BQ47" s="26">
        <f t="shared" si="19"/>
        <v>-191359828.24270904</v>
      </c>
      <c r="BR47" s="26">
        <f t="shared" si="19"/>
        <v>-179400000</v>
      </c>
      <c r="BS47" s="7"/>
      <c r="BT47" s="25"/>
      <c r="BU47" s="15">
        <v>7.3333333333333334E-2</v>
      </c>
      <c r="BV47" s="17">
        <v>0</v>
      </c>
      <c r="BW47" s="17">
        <f t="shared" si="15"/>
        <v>0.41095890410958902</v>
      </c>
      <c r="BX47" s="17">
        <f t="shared" si="15"/>
        <v>0.49446827726349057</v>
      </c>
      <c r="BY47" s="17">
        <f t="shared" si="15"/>
        <v>0.51576565211146774</v>
      </c>
      <c r="BZ47" s="17">
        <f t="shared" si="15"/>
        <v>0.52149397895713612</v>
      </c>
      <c r="CA47" s="17">
        <f t="shared" si="15"/>
        <v>0.52305649933975962</v>
      </c>
      <c r="CB47" s="17">
        <f t="shared" si="15"/>
        <v>0.52348433598989241</v>
      </c>
      <c r="CC47" s="17">
        <f t="shared" si="15"/>
        <v>0.52360160483419294</v>
      </c>
      <c r="CD47" s="17">
        <f t="shared" si="15"/>
        <v>0.52363375707534621</v>
      </c>
      <c r="CE47" s="17">
        <f t="shared" si="15"/>
        <v>0.52364257312109652</v>
      </c>
      <c r="CF47" s="17">
        <f t="shared" si="15"/>
        <v>0.5236449905056163</v>
      </c>
      <c r="CG47" s="17">
        <f t="shared" si="15"/>
        <v>0.52364565336314417</v>
      </c>
      <c r="CH47" s="17">
        <f t="shared" si="15"/>
        <v>0.52364583512190344</v>
      </c>
      <c r="CI47" s="17">
        <f t="shared" si="15"/>
        <v>0.52364588496106157</v>
      </c>
      <c r="CJ47" s="17">
        <f t="shared" si="15"/>
        <v>0.52364589862720901</v>
      </c>
      <c r="CK47" s="17">
        <f t="shared" si="15"/>
        <v>0.52364590237453534</v>
      </c>
      <c r="CL47" s="17">
        <f t="shared" si="15"/>
        <v>0.52364590340207107</v>
      </c>
      <c r="CM47" s="17">
        <f t="shared" si="15"/>
        <v>0.52364590368382657</v>
      </c>
      <c r="CN47" s="17">
        <f t="shared" si="15"/>
        <v>0.52364590376108522</v>
      </c>
      <c r="CO47" s="17">
        <f t="shared" si="15"/>
        <v>0.52364590378227005</v>
      </c>
      <c r="CP47" s="17">
        <f t="shared" si="15"/>
        <v>0.52364590378807896</v>
      </c>
      <c r="CQ47" s="17">
        <f t="shared" si="15"/>
        <v>0.5236459037896718</v>
      </c>
      <c r="CR47" s="17">
        <f t="shared" si="15"/>
        <v>0.52364590379010867</v>
      </c>
      <c r="CS47" s="17">
        <f t="shared" si="15"/>
        <v>0.52364590379022846</v>
      </c>
      <c r="CT47" s="17">
        <f t="shared" si="15"/>
        <v>0.52364590379026121</v>
      </c>
      <c r="CU47" s="17">
        <f t="shared" si="15"/>
        <v>0.52364590379027021</v>
      </c>
      <c r="CV47" s="17">
        <f t="shared" si="15"/>
        <v>0.52364590379027265</v>
      </c>
      <c r="CW47" s="17">
        <f t="shared" si="15"/>
        <v>0.52364590379027331</v>
      </c>
      <c r="CX47" s="17">
        <f t="shared" si="15"/>
        <v>0.52364590379027354</v>
      </c>
      <c r="CY47" s="17">
        <f t="shared" si="15"/>
        <v>0.52364590379027354</v>
      </c>
      <c r="CZ47" s="17">
        <f t="shared" si="16"/>
        <v>100</v>
      </c>
      <c r="DA47" s="7"/>
      <c r="DB47" s="25"/>
      <c r="DC47" s="15">
        <v>7.3333333333333334E-2</v>
      </c>
      <c r="DD47" s="17">
        <f t="shared" si="17"/>
        <v>300</v>
      </c>
      <c r="DE47" s="17">
        <f t="shared" si="18"/>
        <v>175.52509710568881</v>
      </c>
      <c r="DF47" s="17">
        <f t="shared" si="9"/>
        <v>148.21549979890253</v>
      </c>
      <c r="DG47" s="17">
        <f t="shared" si="9"/>
        <v>139.02396643839126</v>
      </c>
      <c r="DH47" s="17">
        <f t="shared" si="9"/>
        <v>134.26814186047955</v>
      </c>
      <c r="DI47" s="17">
        <f t="shared" si="9"/>
        <v>130.67180482218126</v>
      </c>
      <c r="DJ47" s="17">
        <f t="shared" si="9"/>
        <v>127.38375604367631</v>
      </c>
      <c r="DK47" s="17">
        <f t="shared" si="9"/>
        <v>124.1780206570815</v>
      </c>
      <c r="DL47" s="17">
        <f t="shared" si="9"/>
        <v>120.99427953367254</v>
      </c>
      <c r="DM47" s="17">
        <f t="shared" si="9"/>
        <v>117.81641533183306</v>
      </c>
      <c r="DN47" s="17">
        <f t="shared" si="9"/>
        <v>114.64012251584786</v>
      </c>
      <c r="DO47" s="17">
        <f t="shared" si="9"/>
        <v>111.46425172045426</v>
      </c>
      <c r="DP47" s="17">
        <f t="shared" si="9"/>
        <v>108.28849646419698</v>
      </c>
      <c r="DQ47" s="17">
        <f t="shared" si="9"/>
        <v>105.11277518997048</v>
      </c>
      <c r="DR47" s="17">
        <f t="shared" si="9"/>
        <v>101.93706629137685</v>
      </c>
      <c r="DS47" s="17">
        <f t="shared" si="9"/>
        <v>98.761364101356222</v>
      </c>
      <c r="DT47" s="17">
        <f t="shared" si="9"/>
        <v>95.585667159413219</v>
      </c>
      <c r="DU47" s="17">
        <f t="shared" si="9"/>
        <v>92.40997508613647</v>
      </c>
      <c r="DV47" s="17">
        <f t="shared" si="9"/>
        <v>89.234287751371596</v>
      </c>
      <c r="DW47" s="17">
        <f t="shared" si="9"/>
        <v>86.058605053388348</v>
      </c>
      <c r="DX47" s="17">
        <f t="shared" si="9"/>
        <v>82.882926860962314</v>
      </c>
      <c r="DY47" s="17">
        <f t="shared" si="9"/>
        <v>79.707252999149887</v>
      </c>
      <c r="DZ47" s="17">
        <f t="shared" si="9"/>
        <v>76.531583247053703</v>
      </c>
      <c r="EA47" s="17">
        <f t="shared" si="9"/>
        <v>73.35591733914417</v>
      </c>
      <c r="EB47" s="17">
        <f t="shared" si="9"/>
        <v>70.180254967878099</v>
      </c>
      <c r="EC47" s="17">
        <f t="shared" ref="EC47:EH69" si="20">(EB47*$B$22-BM47)/($B$21-$B$22*CT47)</f>
        <v>67.00459578699153</v>
      </c>
      <c r="ED47" s="17">
        <f t="shared" si="20"/>
        <v>63.828939415273261</v>
      </c>
      <c r="EE47" s="17">
        <f t="shared" si="20"/>
        <v>60.653285440736127</v>
      </c>
      <c r="EF47" s="17">
        <f t="shared" si="20"/>
        <v>57.477633425129468</v>
      </c>
      <c r="EG47" s="17">
        <f t="shared" si="20"/>
        <v>54.301982908740257</v>
      </c>
      <c r="EH47" s="17">
        <f t="shared" si="20"/>
        <v>51.126333415429812</v>
      </c>
    </row>
    <row r="48" spans="5:138" ht="15.6" x14ac:dyDescent="0.3">
      <c r="E48" s="25"/>
      <c r="F48" s="15">
        <v>7.0000000000000007E-2</v>
      </c>
      <c r="G48" s="7">
        <f t="shared" si="10"/>
        <v>300</v>
      </c>
      <c r="H48" s="7">
        <f t="shared" si="11"/>
        <v>293.33323995443419</v>
      </c>
      <c r="I48" s="7">
        <f t="shared" si="6"/>
        <v>286.66648093194715</v>
      </c>
      <c r="J48" s="7">
        <f t="shared" si="6"/>
        <v>279.99972394440852</v>
      </c>
      <c r="K48" s="7">
        <f t="shared" si="6"/>
        <v>273.33296998139281</v>
      </c>
      <c r="L48" s="7">
        <f t="shared" si="6"/>
        <v>266.66621999933693</v>
      </c>
      <c r="M48" s="7">
        <f t="shared" si="6"/>
        <v>259.99947491106184</v>
      </c>
      <c r="N48" s="7">
        <f t="shared" si="6"/>
        <v>253.33273557577107</v>
      </c>
      <c r="O48" s="7">
        <f t="shared" si="6"/>
        <v>246.66600278963722</v>
      </c>
      <c r="P48" s="7">
        <f t="shared" si="6"/>
        <v>239.99927727707905</v>
      </c>
      <c r="Q48" s="7">
        <f t="shared" si="6"/>
        <v>233.33255968282441</v>
      </c>
      <c r="R48" s="7">
        <f t="shared" si="6"/>
        <v>226.66585056484666</v>
      </c>
      <c r="S48" s="7">
        <f t="shared" si="6"/>
        <v>219.99915038825122</v>
      </c>
      <c r="T48" s="7">
        <f t="shared" si="6"/>
        <v>213.3324595201799</v>
      </c>
      <c r="U48" s="7">
        <f t="shared" si="6"/>
        <v>206.66577822578836</v>
      </c>
      <c r="V48" s="7">
        <f t="shared" si="6"/>
        <v>199.999106665341</v>
      </c>
      <c r="W48" s="7">
        <f t="shared" si="6"/>
        <v>193.3324448924551</v>
      </c>
      <c r="X48" s="7">
        <f t="shared" si="6"/>
        <v>186.66579285351335</v>
      </c>
      <c r="Y48" s="7">
        <f t="shared" si="6"/>
        <v>179.99915038825137</v>
      </c>
      <c r="Z48" s="7">
        <f t="shared" si="6"/>
        <v>173.33251723151352</v>
      </c>
      <c r="AA48" s="7">
        <f t="shared" si="6"/>
        <v>166.66589301615795</v>
      </c>
      <c r="AB48" s="7">
        <f t="shared" ref="AB48:AJ69" si="21">CQ48*AC48+DY48</f>
        <v>159.99927727707933</v>
      </c>
      <c r="AC48" s="7">
        <f t="shared" si="21"/>
        <v>153.33266945630422</v>
      </c>
      <c r="AD48" s="7">
        <f t="shared" si="21"/>
        <v>146.66606890910475</v>
      </c>
      <c r="AE48" s="7">
        <f t="shared" si="21"/>
        <v>139.99947491106221</v>
      </c>
      <c r="AF48" s="7">
        <f t="shared" si="21"/>
        <v>133.33288666600396</v>
      </c>
      <c r="AG48" s="7">
        <f t="shared" si="21"/>
        <v>126.66630331472641</v>
      </c>
      <c r="AH48" s="7">
        <f t="shared" si="21"/>
        <v>119.99972394440877</v>
      </c>
      <c r="AI48" s="7">
        <f t="shared" si="12"/>
        <v>113.33314759861398</v>
      </c>
      <c r="AJ48" s="7">
        <f t="shared" si="12"/>
        <v>106.6665732877676</v>
      </c>
      <c r="AK48" s="7">
        <f t="shared" si="13"/>
        <v>100</v>
      </c>
      <c r="AL48" s="25"/>
      <c r="AM48" s="15">
        <v>7.0000000000000007E-2</v>
      </c>
      <c r="AN48" s="26">
        <f t="shared" si="14"/>
        <v>-538200000</v>
      </c>
      <c r="AO48" s="26">
        <f t="shared" si="14"/>
        <v>-526239828.2427091</v>
      </c>
      <c r="AP48" s="26">
        <f t="shared" si="14"/>
        <v>-514279658.36722672</v>
      </c>
      <c r="AQ48" s="26">
        <f t="shared" si="14"/>
        <v>-502319492.23474449</v>
      </c>
      <c r="AR48" s="26">
        <f t="shared" si="14"/>
        <v>-490359331.66544473</v>
      </c>
      <c r="AS48" s="26">
        <f t="shared" si="14"/>
        <v>-478399178.41855812</v>
      </c>
      <c r="AT48" s="26">
        <f t="shared" si="14"/>
        <v>-466439034.17308992</v>
      </c>
      <c r="AU48" s="26">
        <f t="shared" si="14"/>
        <v>-454478900.50942355</v>
      </c>
      <c r="AV48" s="26">
        <f t="shared" si="14"/>
        <v>-442518778.89200598</v>
      </c>
      <c r="AW48" s="26">
        <f t="shared" si="14"/>
        <v>-430558670.65330297</v>
      </c>
      <c r="AX48" s="26">
        <f t="shared" si="14"/>
        <v>-418598576.97920078</v>
      </c>
      <c r="AY48" s="26">
        <f t="shared" si="14"/>
        <v>-406638498.89601213</v>
      </c>
      <c r="AZ48" s="26">
        <f t="shared" si="14"/>
        <v>-394678437.25923288</v>
      </c>
      <c r="BA48" s="26">
        <f t="shared" si="14"/>
        <v>-382718392.74416846</v>
      </c>
      <c r="BB48" s="26">
        <f t="shared" si="14"/>
        <v>-370758365.83853531</v>
      </c>
      <c r="BC48" s="26">
        <f t="shared" si="14"/>
        <v>-358798356.8371172</v>
      </c>
      <c r="BD48" s="26">
        <f t="shared" ref="BD48:BK69" si="22">-($B$12*$B$11)/$B$8*W12</f>
        <v>-346838365.83853549</v>
      </c>
      <c r="BE48" s="26">
        <f t="shared" si="22"/>
        <v>-334878392.7441687</v>
      </c>
      <c r="BF48" s="26">
        <f t="shared" si="22"/>
        <v>-322918437.25923312</v>
      </c>
      <c r="BG48" s="26">
        <f t="shared" si="22"/>
        <v>-310958498.89601243</v>
      </c>
      <c r="BH48" s="26">
        <f t="shared" si="22"/>
        <v>-298998576.97920108</v>
      </c>
      <c r="BI48" s="26">
        <f t="shared" si="22"/>
        <v>-287038670.6533035</v>
      </c>
      <c r="BJ48" s="26">
        <f t="shared" si="22"/>
        <v>-275078778.89200652</v>
      </c>
      <c r="BK48" s="26">
        <f t="shared" si="22"/>
        <v>-263118900.50942421</v>
      </c>
      <c r="BL48" s="26">
        <f t="shared" si="19"/>
        <v>-251159034.17309067</v>
      </c>
      <c r="BM48" s="26">
        <f t="shared" si="19"/>
        <v>-239199178.41855887</v>
      </c>
      <c r="BN48" s="26">
        <f t="shared" si="19"/>
        <v>-227239331.66544524</v>
      </c>
      <c r="BO48" s="26">
        <f t="shared" si="19"/>
        <v>-215279492.23474485</v>
      </c>
      <c r="BP48" s="26">
        <f t="shared" si="19"/>
        <v>-203319658.3672269</v>
      </c>
      <c r="BQ48" s="26">
        <f t="shared" si="19"/>
        <v>-191359828.24270904</v>
      </c>
      <c r="BR48" s="26">
        <f t="shared" si="19"/>
        <v>-179400000</v>
      </c>
      <c r="BS48" s="7"/>
      <c r="BT48" s="25"/>
      <c r="BU48" s="15">
        <v>7.0000000000000007E-2</v>
      </c>
      <c r="BV48" s="17">
        <v>0</v>
      </c>
      <c r="BW48" s="17">
        <f t="shared" si="15"/>
        <v>0.41095890410958902</v>
      </c>
      <c r="BX48" s="17">
        <f t="shared" si="15"/>
        <v>0.49446827726349057</v>
      </c>
      <c r="BY48" s="17">
        <f t="shared" si="15"/>
        <v>0.51576565211146774</v>
      </c>
      <c r="BZ48" s="17">
        <f t="shared" si="15"/>
        <v>0.52149397895713612</v>
      </c>
      <c r="CA48" s="17">
        <f t="shared" si="15"/>
        <v>0.52305649933975962</v>
      </c>
      <c r="CB48" s="17">
        <f t="shared" si="15"/>
        <v>0.52348433598989241</v>
      </c>
      <c r="CC48" s="17">
        <f t="shared" si="15"/>
        <v>0.52360160483419294</v>
      </c>
      <c r="CD48" s="17">
        <f t="shared" si="15"/>
        <v>0.52363375707534621</v>
      </c>
      <c r="CE48" s="17">
        <f t="shared" si="15"/>
        <v>0.52364257312109652</v>
      </c>
      <c r="CF48" s="17">
        <f t="shared" si="15"/>
        <v>0.5236449905056163</v>
      </c>
      <c r="CG48" s="17">
        <f t="shared" si="15"/>
        <v>0.52364565336314417</v>
      </c>
      <c r="CH48" s="17">
        <f t="shared" si="15"/>
        <v>0.52364583512190344</v>
      </c>
      <c r="CI48" s="17">
        <f t="shared" si="15"/>
        <v>0.52364588496106157</v>
      </c>
      <c r="CJ48" s="17">
        <f t="shared" si="15"/>
        <v>0.52364589862720901</v>
      </c>
      <c r="CK48" s="17">
        <f t="shared" si="15"/>
        <v>0.52364590237453534</v>
      </c>
      <c r="CL48" s="17">
        <f t="shared" si="15"/>
        <v>0.52364590340207107</v>
      </c>
      <c r="CM48" s="17">
        <f t="shared" si="15"/>
        <v>0.52364590368382657</v>
      </c>
      <c r="CN48" s="17">
        <f t="shared" si="15"/>
        <v>0.52364590376108522</v>
      </c>
      <c r="CO48" s="17">
        <f t="shared" si="15"/>
        <v>0.52364590378227005</v>
      </c>
      <c r="CP48" s="17">
        <f t="shared" si="15"/>
        <v>0.52364590378807896</v>
      </c>
      <c r="CQ48" s="17">
        <f t="shared" si="15"/>
        <v>0.5236459037896718</v>
      </c>
      <c r="CR48" s="17">
        <f t="shared" si="15"/>
        <v>0.52364590379010867</v>
      </c>
      <c r="CS48" s="17">
        <f t="shared" si="15"/>
        <v>0.52364590379022846</v>
      </c>
      <c r="CT48" s="17">
        <f t="shared" ref="CT48:CY48" si="23">$B$20/($B$21-$B$22*CS48)</f>
        <v>0.52364590379026121</v>
      </c>
      <c r="CU48" s="17">
        <f t="shared" si="23"/>
        <v>0.52364590379027021</v>
      </c>
      <c r="CV48" s="17">
        <f t="shared" si="23"/>
        <v>0.52364590379027265</v>
      </c>
      <c r="CW48" s="17">
        <f t="shared" si="23"/>
        <v>0.52364590379027331</v>
      </c>
      <c r="CX48" s="17">
        <f t="shared" si="23"/>
        <v>0.52364590379027354</v>
      </c>
      <c r="CY48" s="17">
        <f t="shared" si="23"/>
        <v>0.52364590379027354</v>
      </c>
      <c r="CZ48" s="17">
        <f t="shared" si="16"/>
        <v>100</v>
      </c>
      <c r="DA48" s="7"/>
      <c r="DB48" s="25"/>
      <c r="DC48" s="15">
        <v>7.0000000000000007E-2</v>
      </c>
      <c r="DD48" s="17">
        <f t="shared" si="17"/>
        <v>300</v>
      </c>
      <c r="DE48" s="17">
        <f t="shared" si="18"/>
        <v>175.52509710568881</v>
      </c>
      <c r="DF48" s="17">
        <f t="shared" si="18"/>
        <v>148.21549979890253</v>
      </c>
      <c r="DG48" s="17">
        <f t="shared" si="18"/>
        <v>139.02396643839126</v>
      </c>
      <c r="DH48" s="17">
        <f t="shared" si="18"/>
        <v>134.26814186047955</v>
      </c>
      <c r="DI48" s="17">
        <f t="shared" si="18"/>
        <v>130.67180482218126</v>
      </c>
      <c r="DJ48" s="17">
        <f t="shared" si="18"/>
        <v>127.38375604367631</v>
      </c>
      <c r="DK48" s="17">
        <f t="shared" si="18"/>
        <v>124.1780206570815</v>
      </c>
      <c r="DL48" s="17">
        <f t="shared" si="18"/>
        <v>120.99427953367254</v>
      </c>
      <c r="DM48" s="17">
        <f t="shared" si="18"/>
        <v>117.81641533183303</v>
      </c>
      <c r="DN48" s="17">
        <f t="shared" si="18"/>
        <v>114.64012251584784</v>
      </c>
      <c r="DO48" s="17">
        <f t="shared" si="18"/>
        <v>111.46425172045424</v>
      </c>
      <c r="DP48" s="17">
        <f t="shared" si="18"/>
        <v>108.28849646419698</v>
      </c>
      <c r="DQ48" s="17">
        <f t="shared" si="18"/>
        <v>105.11277518997048</v>
      </c>
      <c r="DR48" s="17">
        <f t="shared" si="18"/>
        <v>101.93706629137685</v>
      </c>
      <c r="DS48" s="17">
        <f t="shared" si="18"/>
        <v>98.761364101356207</v>
      </c>
      <c r="DT48" s="17">
        <f t="shared" si="18"/>
        <v>95.585667159413219</v>
      </c>
      <c r="DU48" s="17">
        <f t="shared" ref="DU48:EB69" si="24">(DT48*$B$22-BE48)/($B$21-$B$22*CL48)</f>
        <v>92.40997508613647</v>
      </c>
      <c r="DV48" s="17">
        <f t="shared" si="24"/>
        <v>89.234287751371596</v>
      </c>
      <c r="DW48" s="17">
        <f t="shared" si="24"/>
        <v>86.058605053388348</v>
      </c>
      <c r="DX48" s="17">
        <f t="shared" si="24"/>
        <v>82.882926860962314</v>
      </c>
      <c r="DY48" s="17">
        <f t="shared" si="24"/>
        <v>79.707252999149887</v>
      </c>
      <c r="DZ48" s="17">
        <f t="shared" si="24"/>
        <v>76.531583247053703</v>
      </c>
      <c r="EA48" s="17">
        <f t="shared" si="24"/>
        <v>73.35591733914417</v>
      </c>
      <c r="EB48" s="17">
        <f t="shared" si="24"/>
        <v>70.180254967878099</v>
      </c>
      <c r="EC48" s="17">
        <f t="shared" si="20"/>
        <v>67.00459578699153</v>
      </c>
      <c r="ED48" s="17">
        <f t="shared" si="20"/>
        <v>63.828939415273261</v>
      </c>
      <c r="EE48" s="17">
        <f t="shared" si="20"/>
        <v>60.65328544073612</v>
      </c>
      <c r="EF48" s="17">
        <f t="shared" si="20"/>
        <v>57.477633425129454</v>
      </c>
      <c r="EG48" s="17">
        <f t="shared" si="20"/>
        <v>54.30198290874025</v>
      </c>
      <c r="EH48" s="17">
        <f t="shared" si="20"/>
        <v>51.126333415429805</v>
      </c>
    </row>
    <row r="49" spans="5:138" ht="15.6" x14ac:dyDescent="0.3">
      <c r="E49" s="25"/>
      <c r="F49" s="15">
        <v>6.6666666666666666E-2</v>
      </c>
      <c r="G49" s="7">
        <f t="shared" si="10"/>
        <v>300</v>
      </c>
      <c r="H49" s="7">
        <f t="shared" si="11"/>
        <v>293.33323995443419</v>
      </c>
      <c r="I49" s="7">
        <f t="shared" si="11"/>
        <v>286.66648093194715</v>
      </c>
      <c r="J49" s="7">
        <f t="shared" si="11"/>
        <v>279.99972394440852</v>
      </c>
      <c r="K49" s="7">
        <f t="shared" si="11"/>
        <v>273.33296998139281</v>
      </c>
      <c r="L49" s="7">
        <f t="shared" si="11"/>
        <v>266.66621999933693</v>
      </c>
      <c r="M49" s="7">
        <f t="shared" si="11"/>
        <v>259.99947491106178</v>
      </c>
      <c r="N49" s="7">
        <f t="shared" si="11"/>
        <v>253.33273557577101</v>
      </c>
      <c r="O49" s="7">
        <f t="shared" si="11"/>
        <v>246.66600278963716</v>
      </c>
      <c r="P49" s="7">
        <f t="shared" si="11"/>
        <v>239.99927727707902</v>
      </c>
      <c r="Q49" s="7">
        <f t="shared" si="11"/>
        <v>233.33255968282438</v>
      </c>
      <c r="R49" s="7">
        <f t="shared" si="11"/>
        <v>226.66585056484661</v>
      </c>
      <c r="S49" s="7">
        <f t="shared" si="11"/>
        <v>219.99915038825119</v>
      </c>
      <c r="T49" s="7">
        <f t="shared" si="11"/>
        <v>213.33245952017987</v>
      </c>
      <c r="U49" s="7">
        <f t="shared" si="11"/>
        <v>206.66577822578833</v>
      </c>
      <c r="V49" s="7">
        <f t="shared" si="11"/>
        <v>199.99910666534095</v>
      </c>
      <c r="W49" s="7">
        <f t="shared" si="11"/>
        <v>193.33244489245502</v>
      </c>
      <c r="X49" s="7">
        <f t="shared" ref="X49:AA69" si="25">CM49*Y49+DU49</f>
        <v>186.6657928535133</v>
      </c>
      <c r="Y49" s="7">
        <f t="shared" si="25"/>
        <v>179.99915038825131</v>
      </c>
      <c r="Z49" s="7">
        <f t="shared" si="25"/>
        <v>173.33251723151346</v>
      </c>
      <c r="AA49" s="7">
        <f t="shared" si="25"/>
        <v>166.6658930161579</v>
      </c>
      <c r="AB49" s="7">
        <f t="shared" si="21"/>
        <v>159.99927727707927</v>
      </c>
      <c r="AC49" s="7">
        <f t="shared" si="21"/>
        <v>153.33266945630419</v>
      </c>
      <c r="AD49" s="7">
        <f t="shared" si="21"/>
        <v>146.66606890910472</v>
      </c>
      <c r="AE49" s="7">
        <f t="shared" si="21"/>
        <v>139.99947491106218</v>
      </c>
      <c r="AF49" s="7">
        <f t="shared" si="21"/>
        <v>133.3328866660039</v>
      </c>
      <c r="AG49" s="7">
        <f t="shared" si="21"/>
        <v>126.66630331472638</v>
      </c>
      <c r="AH49" s="7">
        <f t="shared" si="21"/>
        <v>119.99972394440874</v>
      </c>
      <c r="AI49" s="7">
        <f t="shared" si="12"/>
        <v>113.33314759861395</v>
      </c>
      <c r="AJ49" s="7">
        <f t="shared" si="12"/>
        <v>106.66657328776759</v>
      </c>
      <c r="AK49" s="7">
        <f t="shared" si="13"/>
        <v>100</v>
      </c>
      <c r="AL49" s="25"/>
      <c r="AM49" s="15">
        <v>6.6666666666666666E-2</v>
      </c>
      <c r="AN49" s="26">
        <f t="shared" si="14"/>
        <v>-538200000</v>
      </c>
      <c r="AO49" s="26">
        <f t="shared" si="14"/>
        <v>-526239828.24270898</v>
      </c>
      <c r="AP49" s="26">
        <f t="shared" si="14"/>
        <v>-514279658.36722672</v>
      </c>
      <c r="AQ49" s="26">
        <f t="shared" si="14"/>
        <v>-502319492.23474449</v>
      </c>
      <c r="AR49" s="26">
        <f t="shared" si="14"/>
        <v>-490359331.66544473</v>
      </c>
      <c r="AS49" s="26">
        <f t="shared" si="14"/>
        <v>-478399178.41855812</v>
      </c>
      <c r="AT49" s="26">
        <f t="shared" si="14"/>
        <v>-466439034.17308986</v>
      </c>
      <c r="AU49" s="26">
        <f t="shared" si="14"/>
        <v>-454478900.50942343</v>
      </c>
      <c r="AV49" s="26">
        <f t="shared" si="14"/>
        <v>-442518778.89200586</v>
      </c>
      <c r="AW49" s="26">
        <f t="shared" si="14"/>
        <v>-430558670.65330291</v>
      </c>
      <c r="AX49" s="26">
        <f t="shared" si="14"/>
        <v>-418598576.97920066</v>
      </c>
      <c r="AY49" s="26">
        <f t="shared" si="14"/>
        <v>-406638498.89601201</v>
      </c>
      <c r="AZ49" s="26">
        <f t="shared" si="14"/>
        <v>-394678437.25923282</v>
      </c>
      <c r="BA49" s="26">
        <f t="shared" si="14"/>
        <v>-382718392.7441684</v>
      </c>
      <c r="BB49" s="26">
        <f t="shared" si="14"/>
        <v>-370758365.83853525</v>
      </c>
      <c r="BC49" s="26">
        <f t="shared" si="14"/>
        <v>-358798356.83711708</v>
      </c>
      <c r="BD49" s="26">
        <f t="shared" si="22"/>
        <v>-346838365.83853537</v>
      </c>
      <c r="BE49" s="26">
        <f t="shared" si="22"/>
        <v>-334878392.74416858</v>
      </c>
      <c r="BF49" s="26">
        <f t="shared" si="22"/>
        <v>-322918437.25923306</v>
      </c>
      <c r="BG49" s="26">
        <f t="shared" si="22"/>
        <v>-310958498.89601237</v>
      </c>
      <c r="BH49" s="26">
        <f t="shared" si="22"/>
        <v>-298998576.97920102</v>
      </c>
      <c r="BI49" s="26">
        <f t="shared" si="22"/>
        <v>-287038670.65330338</v>
      </c>
      <c r="BJ49" s="26">
        <f t="shared" si="22"/>
        <v>-275078778.89200646</v>
      </c>
      <c r="BK49" s="26">
        <f t="shared" si="22"/>
        <v>-263118900.50942418</v>
      </c>
      <c r="BL49" s="26">
        <f t="shared" si="19"/>
        <v>-251159034.17309061</v>
      </c>
      <c r="BM49" s="26">
        <f t="shared" si="19"/>
        <v>-239199178.41855881</v>
      </c>
      <c r="BN49" s="26">
        <f t="shared" si="19"/>
        <v>-227239331.66544524</v>
      </c>
      <c r="BO49" s="26">
        <f t="shared" si="19"/>
        <v>-215279492.23474479</v>
      </c>
      <c r="BP49" s="26">
        <f t="shared" si="19"/>
        <v>-203319658.36722687</v>
      </c>
      <c r="BQ49" s="26">
        <f t="shared" si="19"/>
        <v>-191359828.24270898</v>
      </c>
      <c r="BR49" s="26">
        <f t="shared" si="19"/>
        <v>-179400000</v>
      </c>
      <c r="BS49" s="7"/>
      <c r="BT49" s="25"/>
      <c r="BU49" s="15">
        <v>6.6666666666666666E-2</v>
      </c>
      <c r="BV49" s="17">
        <v>0</v>
      </c>
      <c r="BW49" s="17">
        <f t="shared" ref="BW49:CY57" si="26">$B$20/($B$21-$B$22*BV49)</f>
        <v>0.41095890410958902</v>
      </c>
      <c r="BX49" s="17">
        <f t="shared" si="26"/>
        <v>0.49446827726349057</v>
      </c>
      <c r="BY49" s="17">
        <f t="shared" si="26"/>
        <v>0.51576565211146774</v>
      </c>
      <c r="BZ49" s="17">
        <f t="shared" si="26"/>
        <v>0.52149397895713612</v>
      </c>
      <c r="CA49" s="17">
        <f t="shared" si="26"/>
        <v>0.52305649933975962</v>
      </c>
      <c r="CB49" s="17">
        <f t="shared" si="26"/>
        <v>0.52348433598989241</v>
      </c>
      <c r="CC49" s="17">
        <f t="shared" si="26"/>
        <v>0.52360160483419294</v>
      </c>
      <c r="CD49" s="17">
        <f t="shared" si="26"/>
        <v>0.52363375707534621</v>
      </c>
      <c r="CE49" s="17">
        <f t="shared" si="26"/>
        <v>0.52364257312109652</v>
      </c>
      <c r="CF49" s="17">
        <f t="shared" si="26"/>
        <v>0.5236449905056163</v>
      </c>
      <c r="CG49" s="17">
        <f t="shared" si="26"/>
        <v>0.52364565336314417</v>
      </c>
      <c r="CH49" s="17">
        <f t="shared" si="26"/>
        <v>0.52364583512190344</v>
      </c>
      <c r="CI49" s="17">
        <f t="shared" si="26"/>
        <v>0.52364588496106157</v>
      </c>
      <c r="CJ49" s="17">
        <f t="shared" si="26"/>
        <v>0.52364589862720901</v>
      </c>
      <c r="CK49" s="17">
        <f t="shared" si="26"/>
        <v>0.52364590237453534</v>
      </c>
      <c r="CL49" s="17">
        <f t="shared" si="26"/>
        <v>0.52364590340207107</v>
      </c>
      <c r="CM49" s="17">
        <f t="shared" si="26"/>
        <v>0.52364590368382657</v>
      </c>
      <c r="CN49" s="17">
        <f t="shared" si="26"/>
        <v>0.52364590376108522</v>
      </c>
      <c r="CO49" s="17">
        <f t="shared" si="26"/>
        <v>0.52364590378227005</v>
      </c>
      <c r="CP49" s="17">
        <f t="shared" si="26"/>
        <v>0.52364590378807896</v>
      </c>
      <c r="CQ49" s="17">
        <f t="shared" si="26"/>
        <v>0.5236459037896718</v>
      </c>
      <c r="CR49" s="17">
        <f t="shared" si="26"/>
        <v>0.52364590379010867</v>
      </c>
      <c r="CS49" s="17">
        <f t="shared" si="26"/>
        <v>0.52364590379022846</v>
      </c>
      <c r="CT49" s="17">
        <f t="shared" si="26"/>
        <v>0.52364590379026121</v>
      </c>
      <c r="CU49" s="17">
        <f t="shared" si="26"/>
        <v>0.52364590379027021</v>
      </c>
      <c r="CV49" s="17">
        <f t="shared" si="26"/>
        <v>0.52364590379027265</v>
      </c>
      <c r="CW49" s="17">
        <f t="shared" si="26"/>
        <v>0.52364590379027331</v>
      </c>
      <c r="CX49" s="17">
        <f t="shared" si="26"/>
        <v>0.52364590379027354</v>
      </c>
      <c r="CY49" s="17">
        <f t="shared" si="26"/>
        <v>0.52364590379027354</v>
      </c>
      <c r="CZ49" s="17">
        <f t="shared" si="16"/>
        <v>100</v>
      </c>
      <c r="DA49" s="7"/>
      <c r="DB49" s="25"/>
      <c r="DC49" s="15">
        <v>6.6666666666666666E-2</v>
      </c>
      <c r="DD49" s="17">
        <f t="shared" si="17"/>
        <v>300</v>
      </c>
      <c r="DE49" s="17">
        <f t="shared" si="18"/>
        <v>175.52509710568881</v>
      </c>
      <c r="DF49" s="17">
        <f t="shared" si="18"/>
        <v>148.21549979890253</v>
      </c>
      <c r="DG49" s="17">
        <f t="shared" si="18"/>
        <v>139.02396643839126</v>
      </c>
      <c r="DH49" s="17">
        <f t="shared" si="18"/>
        <v>134.26814186047955</v>
      </c>
      <c r="DI49" s="17">
        <f t="shared" si="18"/>
        <v>130.67180482218126</v>
      </c>
      <c r="DJ49" s="17">
        <f t="shared" si="18"/>
        <v>127.3837560436763</v>
      </c>
      <c r="DK49" s="17">
        <f t="shared" si="18"/>
        <v>124.17802065708148</v>
      </c>
      <c r="DL49" s="17">
        <f t="shared" si="18"/>
        <v>120.99427953367251</v>
      </c>
      <c r="DM49" s="17">
        <f t="shared" si="18"/>
        <v>117.81641533183303</v>
      </c>
      <c r="DN49" s="17">
        <f t="shared" si="18"/>
        <v>114.64012251584784</v>
      </c>
      <c r="DO49" s="17">
        <f t="shared" si="18"/>
        <v>111.46425172045421</v>
      </c>
      <c r="DP49" s="17">
        <f t="shared" si="18"/>
        <v>108.28849646419695</v>
      </c>
      <c r="DQ49" s="17">
        <f t="shared" si="18"/>
        <v>105.11277518997045</v>
      </c>
      <c r="DR49" s="17">
        <f t="shared" si="18"/>
        <v>101.93706629137684</v>
      </c>
      <c r="DS49" s="17">
        <f t="shared" si="18"/>
        <v>98.761364101356193</v>
      </c>
      <c r="DT49" s="17">
        <f t="shared" si="18"/>
        <v>95.585667159413191</v>
      </c>
      <c r="DU49" s="17">
        <f t="shared" si="24"/>
        <v>92.409975086136441</v>
      </c>
      <c r="DV49" s="17">
        <f t="shared" si="24"/>
        <v>89.234287751371568</v>
      </c>
      <c r="DW49" s="17">
        <f t="shared" si="24"/>
        <v>86.05860505338832</v>
      </c>
      <c r="DX49" s="17">
        <f t="shared" si="24"/>
        <v>82.882926860962286</v>
      </c>
      <c r="DY49" s="17">
        <f t="shared" si="24"/>
        <v>79.707252999149858</v>
      </c>
      <c r="DZ49" s="17">
        <f t="shared" si="24"/>
        <v>76.531583247053689</v>
      </c>
      <c r="EA49" s="17">
        <f t="shared" si="24"/>
        <v>73.355917339144156</v>
      </c>
      <c r="EB49" s="17">
        <f t="shared" si="24"/>
        <v>70.180254967878085</v>
      </c>
      <c r="EC49" s="17">
        <f t="shared" si="20"/>
        <v>67.004595786991516</v>
      </c>
      <c r="ED49" s="17">
        <f t="shared" si="20"/>
        <v>63.828939415273247</v>
      </c>
      <c r="EE49" s="17">
        <f t="shared" si="20"/>
        <v>60.653285440736106</v>
      </c>
      <c r="EF49" s="17">
        <f t="shared" si="20"/>
        <v>57.477633425129447</v>
      </c>
      <c r="EG49" s="17">
        <f t="shared" si="20"/>
        <v>54.301982908740229</v>
      </c>
      <c r="EH49" s="17">
        <f t="shared" si="20"/>
        <v>51.126333415429791</v>
      </c>
    </row>
    <row r="50" spans="5:138" ht="15.6" x14ac:dyDescent="0.3">
      <c r="E50" s="25"/>
      <c r="F50" s="15">
        <v>6.3333333333333339E-2</v>
      </c>
      <c r="G50" s="7">
        <f t="shared" si="10"/>
        <v>300</v>
      </c>
      <c r="H50" s="7">
        <f t="shared" si="11"/>
        <v>293.33323995443419</v>
      </c>
      <c r="I50" s="7">
        <f t="shared" si="11"/>
        <v>286.66648093194715</v>
      </c>
      <c r="J50" s="7">
        <f t="shared" si="11"/>
        <v>279.99972394440852</v>
      </c>
      <c r="K50" s="7">
        <f t="shared" si="11"/>
        <v>273.33296998139269</v>
      </c>
      <c r="L50" s="7">
        <f t="shared" si="11"/>
        <v>266.66621999933687</v>
      </c>
      <c r="M50" s="7">
        <f t="shared" si="11"/>
        <v>259.99947491106178</v>
      </c>
      <c r="N50" s="7">
        <f t="shared" si="11"/>
        <v>253.33273557577101</v>
      </c>
      <c r="O50" s="7">
        <f t="shared" si="11"/>
        <v>246.66600278963716</v>
      </c>
      <c r="P50" s="7">
        <f t="shared" si="11"/>
        <v>239.99927727707899</v>
      </c>
      <c r="Q50" s="7">
        <f t="shared" si="11"/>
        <v>233.33255968282435</v>
      </c>
      <c r="R50" s="7">
        <f t="shared" si="11"/>
        <v>226.66585056484661</v>
      </c>
      <c r="S50" s="7">
        <f t="shared" si="11"/>
        <v>219.99915038825117</v>
      </c>
      <c r="T50" s="7">
        <f t="shared" si="11"/>
        <v>213.33245952017984</v>
      </c>
      <c r="U50" s="7">
        <f t="shared" si="11"/>
        <v>206.6657782257883</v>
      </c>
      <c r="V50" s="7">
        <f t="shared" si="11"/>
        <v>199.99910666534092</v>
      </c>
      <c r="W50" s="7">
        <f t="shared" si="11"/>
        <v>193.33244489245502</v>
      </c>
      <c r="X50" s="7">
        <f t="shared" si="25"/>
        <v>186.6657928535133</v>
      </c>
      <c r="Y50" s="7">
        <f t="shared" si="25"/>
        <v>179.99915038825131</v>
      </c>
      <c r="Z50" s="7">
        <f t="shared" si="25"/>
        <v>173.33251723151346</v>
      </c>
      <c r="AA50" s="7">
        <f t="shared" si="25"/>
        <v>166.6658930161579</v>
      </c>
      <c r="AB50" s="7">
        <f t="shared" si="21"/>
        <v>159.99927727707924</v>
      </c>
      <c r="AC50" s="7">
        <f t="shared" si="21"/>
        <v>153.33266945630413</v>
      </c>
      <c r="AD50" s="7">
        <f t="shared" si="21"/>
        <v>146.66606890910469</v>
      </c>
      <c r="AE50" s="7">
        <f t="shared" si="21"/>
        <v>139.99947491106215</v>
      </c>
      <c r="AF50" s="7">
        <f t="shared" si="21"/>
        <v>133.3328866660039</v>
      </c>
      <c r="AG50" s="7">
        <f t="shared" si="21"/>
        <v>126.66630331472638</v>
      </c>
      <c r="AH50" s="7">
        <f t="shared" si="21"/>
        <v>119.99972394440874</v>
      </c>
      <c r="AI50" s="7">
        <f t="shared" si="12"/>
        <v>113.33314759861395</v>
      </c>
      <c r="AJ50" s="7">
        <f t="shared" si="12"/>
        <v>106.66657328776759</v>
      </c>
      <c r="AK50" s="7">
        <f t="shared" si="13"/>
        <v>100</v>
      </c>
      <c r="AL50" s="25"/>
      <c r="AM50" s="15">
        <v>6.3333333333333339E-2</v>
      </c>
      <c r="AN50" s="26">
        <f t="shared" si="14"/>
        <v>-538200000</v>
      </c>
      <c r="AO50" s="26">
        <f t="shared" si="14"/>
        <v>-526239828.24270886</v>
      </c>
      <c r="AP50" s="26">
        <f t="shared" si="14"/>
        <v>-514279658.36722666</v>
      </c>
      <c r="AQ50" s="26">
        <f t="shared" si="14"/>
        <v>-502319492.23474437</v>
      </c>
      <c r="AR50" s="26">
        <f t="shared" si="14"/>
        <v>-490359331.66544461</v>
      </c>
      <c r="AS50" s="26">
        <f t="shared" si="14"/>
        <v>-478399178.418558</v>
      </c>
      <c r="AT50" s="26">
        <f t="shared" si="14"/>
        <v>-466439034.17308986</v>
      </c>
      <c r="AU50" s="26">
        <f t="shared" si="14"/>
        <v>-454478900.50942343</v>
      </c>
      <c r="AV50" s="26">
        <f t="shared" si="14"/>
        <v>-442518778.89200574</v>
      </c>
      <c r="AW50" s="26">
        <f t="shared" si="14"/>
        <v>-430558670.65330285</v>
      </c>
      <c r="AX50" s="26">
        <f t="shared" si="14"/>
        <v>-418598576.97920054</v>
      </c>
      <c r="AY50" s="26">
        <f t="shared" si="14"/>
        <v>-406638498.89601201</v>
      </c>
      <c r="AZ50" s="26">
        <f t="shared" si="14"/>
        <v>-394678437.25923276</v>
      </c>
      <c r="BA50" s="26">
        <f t="shared" si="14"/>
        <v>-382718392.74416834</v>
      </c>
      <c r="BB50" s="26">
        <f t="shared" si="14"/>
        <v>-370758365.83853519</v>
      </c>
      <c r="BC50" s="26">
        <f t="shared" si="14"/>
        <v>-358798356.83711702</v>
      </c>
      <c r="BD50" s="26">
        <f t="shared" si="22"/>
        <v>-346838365.83853537</v>
      </c>
      <c r="BE50" s="26">
        <f t="shared" si="22"/>
        <v>-334878392.74416858</v>
      </c>
      <c r="BF50" s="26">
        <f t="shared" si="22"/>
        <v>-322918437.259233</v>
      </c>
      <c r="BG50" s="26">
        <f t="shared" si="22"/>
        <v>-310958498.89601231</v>
      </c>
      <c r="BH50" s="26">
        <f t="shared" si="22"/>
        <v>-298998576.97920102</v>
      </c>
      <c r="BI50" s="26">
        <f t="shared" si="22"/>
        <v>-287038670.65330338</v>
      </c>
      <c r="BJ50" s="26">
        <f t="shared" si="22"/>
        <v>-275078778.8920064</v>
      </c>
      <c r="BK50" s="26">
        <f t="shared" si="22"/>
        <v>-263118900.50942418</v>
      </c>
      <c r="BL50" s="26">
        <f t="shared" si="19"/>
        <v>-251159034.17309061</v>
      </c>
      <c r="BM50" s="26">
        <f t="shared" si="19"/>
        <v>-239199178.41855878</v>
      </c>
      <c r="BN50" s="26">
        <f t="shared" si="19"/>
        <v>-227239331.66544521</v>
      </c>
      <c r="BO50" s="26">
        <f t="shared" si="19"/>
        <v>-215279492.23474479</v>
      </c>
      <c r="BP50" s="26">
        <f t="shared" si="19"/>
        <v>-203319658.36722684</v>
      </c>
      <c r="BQ50" s="26">
        <f t="shared" si="19"/>
        <v>-191359828.24270898</v>
      </c>
      <c r="BR50" s="26">
        <f t="shared" si="19"/>
        <v>-179400000</v>
      </c>
      <c r="BS50" s="7"/>
      <c r="BT50" s="25"/>
      <c r="BU50" s="15">
        <v>6.3333333333333339E-2</v>
      </c>
      <c r="BV50" s="17">
        <v>0</v>
      </c>
      <c r="BW50" s="17">
        <f t="shared" si="26"/>
        <v>0.41095890410958902</v>
      </c>
      <c r="BX50" s="17">
        <f t="shared" si="26"/>
        <v>0.49446827726349057</v>
      </c>
      <c r="BY50" s="17">
        <f t="shared" si="26"/>
        <v>0.51576565211146774</v>
      </c>
      <c r="BZ50" s="17">
        <f t="shared" si="26"/>
        <v>0.52149397895713612</v>
      </c>
      <c r="CA50" s="17">
        <f t="shared" si="26"/>
        <v>0.52305649933975962</v>
      </c>
      <c r="CB50" s="17">
        <f t="shared" si="26"/>
        <v>0.52348433598989241</v>
      </c>
      <c r="CC50" s="17">
        <f t="shared" si="26"/>
        <v>0.52360160483419294</v>
      </c>
      <c r="CD50" s="17">
        <f t="shared" si="26"/>
        <v>0.52363375707534621</v>
      </c>
      <c r="CE50" s="17">
        <f t="shared" si="26"/>
        <v>0.52364257312109652</v>
      </c>
      <c r="CF50" s="17">
        <f t="shared" si="26"/>
        <v>0.5236449905056163</v>
      </c>
      <c r="CG50" s="17">
        <f t="shared" si="26"/>
        <v>0.52364565336314417</v>
      </c>
      <c r="CH50" s="17">
        <f t="shared" si="26"/>
        <v>0.52364583512190344</v>
      </c>
      <c r="CI50" s="17">
        <f t="shared" si="26"/>
        <v>0.52364588496106157</v>
      </c>
      <c r="CJ50" s="17">
        <f t="shared" si="26"/>
        <v>0.52364589862720901</v>
      </c>
      <c r="CK50" s="17">
        <f t="shared" si="26"/>
        <v>0.52364590237453534</v>
      </c>
      <c r="CL50" s="17">
        <f t="shared" si="26"/>
        <v>0.52364590340207107</v>
      </c>
      <c r="CM50" s="17">
        <f t="shared" si="26"/>
        <v>0.52364590368382657</v>
      </c>
      <c r="CN50" s="17">
        <f t="shared" si="26"/>
        <v>0.52364590376108522</v>
      </c>
      <c r="CO50" s="17">
        <f t="shared" si="26"/>
        <v>0.52364590378227005</v>
      </c>
      <c r="CP50" s="17">
        <f t="shared" si="26"/>
        <v>0.52364590378807896</v>
      </c>
      <c r="CQ50" s="17">
        <f t="shared" si="26"/>
        <v>0.5236459037896718</v>
      </c>
      <c r="CR50" s="17">
        <f t="shared" si="26"/>
        <v>0.52364590379010867</v>
      </c>
      <c r="CS50" s="17">
        <f t="shared" si="26"/>
        <v>0.52364590379022846</v>
      </c>
      <c r="CT50" s="17">
        <f t="shared" si="26"/>
        <v>0.52364590379026121</v>
      </c>
      <c r="CU50" s="17">
        <f t="shared" si="26"/>
        <v>0.52364590379027021</v>
      </c>
      <c r="CV50" s="17">
        <f t="shared" si="26"/>
        <v>0.52364590379027265</v>
      </c>
      <c r="CW50" s="17">
        <f t="shared" si="26"/>
        <v>0.52364590379027331</v>
      </c>
      <c r="CX50" s="17">
        <f t="shared" si="26"/>
        <v>0.52364590379027354</v>
      </c>
      <c r="CY50" s="17">
        <f t="shared" si="26"/>
        <v>0.52364590379027354</v>
      </c>
      <c r="CZ50" s="17">
        <f t="shared" si="16"/>
        <v>100</v>
      </c>
      <c r="DA50" s="7"/>
      <c r="DB50" s="25"/>
      <c r="DC50" s="15">
        <v>6.3333333333333339E-2</v>
      </c>
      <c r="DD50" s="17">
        <f t="shared" si="17"/>
        <v>300</v>
      </c>
      <c r="DE50" s="17">
        <f t="shared" si="18"/>
        <v>175.52509710568881</v>
      </c>
      <c r="DF50" s="17">
        <f t="shared" si="18"/>
        <v>148.21549979890253</v>
      </c>
      <c r="DG50" s="17">
        <f t="shared" si="18"/>
        <v>139.02396643839126</v>
      </c>
      <c r="DH50" s="17">
        <f t="shared" si="18"/>
        <v>134.26814186047952</v>
      </c>
      <c r="DI50" s="17">
        <f t="shared" si="18"/>
        <v>130.67180482218123</v>
      </c>
      <c r="DJ50" s="17">
        <f t="shared" si="18"/>
        <v>127.38375604367629</v>
      </c>
      <c r="DK50" s="17">
        <f t="shared" si="18"/>
        <v>124.17802065708148</v>
      </c>
      <c r="DL50" s="17">
        <f t="shared" si="18"/>
        <v>120.99427953367251</v>
      </c>
      <c r="DM50" s="17">
        <f t="shared" si="18"/>
        <v>117.816415331833</v>
      </c>
      <c r="DN50" s="17">
        <f t="shared" si="18"/>
        <v>114.64012251584781</v>
      </c>
      <c r="DO50" s="17">
        <f t="shared" si="18"/>
        <v>111.46425172045421</v>
      </c>
      <c r="DP50" s="17">
        <f t="shared" si="18"/>
        <v>108.28849646419695</v>
      </c>
      <c r="DQ50" s="17">
        <f t="shared" si="18"/>
        <v>105.11277518997045</v>
      </c>
      <c r="DR50" s="17">
        <f t="shared" si="18"/>
        <v>101.93706629137682</v>
      </c>
      <c r="DS50" s="17">
        <f t="shared" si="18"/>
        <v>98.761364101356179</v>
      </c>
      <c r="DT50" s="17">
        <f t="shared" si="18"/>
        <v>95.585667159413191</v>
      </c>
      <c r="DU50" s="17">
        <f t="shared" si="24"/>
        <v>92.409975086136441</v>
      </c>
      <c r="DV50" s="17">
        <f t="shared" si="24"/>
        <v>89.234287751371568</v>
      </c>
      <c r="DW50" s="17">
        <f t="shared" si="24"/>
        <v>86.05860505338832</v>
      </c>
      <c r="DX50" s="17">
        <f t="shared" si="24"/>
        <v>82.882926860962286</v>
      </c>
      <c r="DY50" s="17">
        <f t="shared" si="24"/>
        <v>79.707252999149858</v>
      </c>
      <c r="DZ50" s="17">
        <f t="shared" si="24"/>
        <v>76.531583247053661</v>
      </c>
      <c r="EA50" s="17">
        <f t="shared" si="24"/>
        <v>73.355917339144142</v>
      </c>
      <c r="EB50" s="17">
        <f t="shared" si="24"/>
        <v>70.180254967878071</v>
      </c>
      <c r="EC50" s="17">
        <f t="shared" si="20"/>
        <v>67.004595786991516</v>
      </c>
      <c r="ED50" s="17">
        <f t="shared" si="20"/>
        <v>63.828939415273247</v>
      </c>
      <c r="EE50" s="17">
        <f t="shared" si="20"/>
        <v>60.653285440736106</v>
      </c>
      <c r="EF50" s="17">
        <f t="shared" si="20"/>
        <v>57.47763342512944</v>
      </c>
      <c r="EG50" s="17">
        <f t="shared" si="20"/>
        <v>54.301982908740229</v>
      </c>
      <c r="EH50" s="17">
        <f t="shared" si="20"/>
        <v>51.126333415429791</v>
      </c>
    </row>
    <row r="51" spans="5:138" ht="15.6" x14ac:dyDescent="0.3">
      <c r="E51" s="25"/>
      <c r="F51" s="15">
        <v>6.0000000000000005E-2</v>
      </c>
      <c r="G51" s="7">
        <f t="shared" si="10"/>
        <v>300</v>
      </c>
      <c r="H51" s="7">
        <f t="shared" si="11"/>
        <v>293.33323995443419</v>
      </c>
      <c r="I51" s="7">
        <f t="shared" si="11"/>
        <v>286.66648093194709</v>
      </c>
      <c r="J51" s="7">
        <f t="shared" si="11"/>
        <v>279.99972394440846</v>
      </c>
      <c r="K51" s="7">
        <f t="shared" si="11"/>
        <v>273.33296998139269</v>
      </c>
      <c r="L51" s="7">
        <f t="shared" si="11"/>
        <v>266.66621999933682</v>
      </c>
      <c r="M51" s="7">
        <f t="shared" si="11"/>
        <v>259.99947491106172</v>
      </c>
      <c r="N51" s="7">
        <f t="shared" si="11"/>
        <v>253.33273557577095</v>
      </c>
      <c r="O51" s="7">
        <f t="shared" si="11"/>
        <v>246.6660027896371</v>
      </c>
      <c r="P51" s="7">
        <f t="shared" si="11"/>
        <v>239.99927727707893</v>
      </c>
      <c r="Q51" s="7">
        <f t="shared" si="11"/>
        <v>233.3325596828243</v>
      </c>
      <c r="R51" s="7">
        <f t="shared" si="11"/>
        <v>226.66585056484655</v>
      </c>
      <c r="S51" s="7">
        <f t="shared" si="11"/>
        <v>219.99915038825111</v>
      </c>
      <c r="T51" s="7">
        <f t="shared" si="11"/>
        <v>213.33245952017978</v>
      </c>
      <c r="U51" s="7">
        <f t="shared" si="11"/>
        <v>206.66577822578824</v>
      </c>
      <c r="V51" s="7">
        <f t="shared" si="11"/>
        <v>199.99910666534089</v>
      </c>
      <c r="W51" s="7">
        <f t="shared" si="11"/>
        <v>193.33244489245496</v>
      </c>
      <c r="X51" s="7">
        <f t="shared" si="25"/>
        <v>186.66579285351324</v>
      </c>
      <c r="Y51" s="7">
        <f t="shared" si="25"/>
        <v>179.99915038825125</v>
      </c>
      <c r="Z51" s="7">
        <f t="shared" si="25"/>
        <v>173.33251723151341</v>
      </c>
      <c r="AA51" s="7">
        <f t="shared" si="25"/>
        <v>166.66589301615787</v>
      </c>
      <c r="AB51" s="7">
        <f t="shared" si="21"/>
        <v>159.99927727707922</v>
      </c>
      <c r="AC51" s="7">
        <f t="shared" si="21"/>
        <v>153.33266945630413</v>
      </c>
      <c r="AD51" s="7">
        <f t="shared" si="21"/>
        <v>146.66606890910467</v>
      </c>
      <c r="AE51" s="7">
        <f t="shared" si="21"/>
        <v>139.99947491106212</v>
      </c>
      <c r="AF51" s="7">
        <f t="shared" si="21"/>
        <v>133.3328866660039</v>
      </c>
      <c r="AG51" s="7">
        <f t="shared" si="21"/>
        <v>126.66630331472638</v>
      </c>
      <c r="AH51" s="7">
        <f t="shared" si="21"/>
        <v>119.99972394440874</v>
      </c>
      <c r="AI51" s="7">
        <f t="shared" si="12"/>
        <v>113.33314759861395</v>
      </c>
      <c r="AJ51" s="7">
        <f t="shared" si="12"/>
        <v>106.66657328776759</v>
      </c>
      <c r="AK51" s="7">
        <f t="shared" si="13"/>
        <v>100</v>
      </c>
      <c r="AL51" s="25"/>
      <c r="AM51" s="15">
        <v>6.0000000000000005E-2</v>
      </c>
      <c r="AN51" s="26">
        <f t="shared" si="14"/>
        <v>-538200000</v>
      </c>
      <c r="AO51" s="26">
        <f t="shared" si="14"/>
        <v>-526239828.24270886</v>
      </c>
      <c r="AP51" s="26">
        <f t="shared" si="14"/>
        <v>-514279658.36722654</v>
      </c>
      <c r="AQ51" s="26">
        <f t="shared" si="14"/>
        <v>-502319492.23474425</v>
      </c>
      <c r="AR51" s="26">
        <f t="shared" si="14"/>
        <v>-490359331.66544449</v>
      </c>
      <c r="AS51" s="26">
        <f t="shared" si="14"/>
        <v>-478399178.418558</v>
      </c>
      <c r="AT51" s="26">
        <f t="shared" si="14"/>
        <v>-466439034.17308974</v>
      </c>
      <c r="AU51" s="26">
        <f t="shared" si="14"/>
        <v>-454478900.50942332</v>
      </c>
      <c r="AV51" s="26">
        <f t="shared" si="14"/>
        <v>-442518778.89200568</v>
      </c>
      <c r="AW51" s="26">
        <f t="shared" si="14"/>
        <v>-430558670.65330285</v>
      </c>
      <c r="AX51" s="26">
        <f t="shared" si="14"/>
        <v>-418598576.97920048</v>
      </c>
      <c r="AY51" s="26">
        <f t="shared" si="14"/>
        <v>-406638498.89601189</v>
      </c>
      <c r="AZ51" s="26">
        <f t="shared" si="14"/>
        <v>-394678437.25923264</v>
      </c>
      <c r="BA51" s="26">
        <f t="shared" si="14"/>
        <v>-382718392.74416822</v>
      </c>
      <c r="BB51" s="26">
        <f t="shared" si="14"/>
        <v>-370758365.83853513</v>
      </c>
      <c r="BC51" s="26">
        <f t="shared" si="14"/>
        <v>-358798356.83711702</v>
      </c>
      <c r="BD51" s="26">
        <f t="shared" si="22"/>
        <v>-346838365.83853531</v>
      </c>
      <c r="BE51" s="26">
        <f t="shared" si="22"/>
        <v>-334878392.74416852</v>
      </c>
      <c r="BF51" s="26">
        <f t="shared" si="22"/>
        <v>-322918437.25923294</v>
      </c>
      <c r="BG51" s="26">
        <f t="shared" si="22"/>
        <v>-310958498.89601219</v>
      </c>
      <c r="BH51" s="26">
        <f t="shared" si="22"/>
        <v>-298998576.97920096</v>
      </c>
      <c r="BI51" s="26">
        <f t="shared" si="22"/>
        <v>-287038670.65330333</v>
      </c>
      <c r="BJ51" s="26">
        <f t="shared" si="22"/>
        <v>-275078778.8920064</v>
      </c>
      <c r="BK51" s="26">
        <f t="shared" si="22"/>
        <v>-263118900.50942412</v>
      </c>
      <c r="BL51" s="26">
        <f t="shared" si="19"/>
        <v>-251159034.17309055</v>
      </c>
      <c r="BM51" s="26">
        <f t="shared" si="19"/>
        <v>-239199178.41855878</v>
      </c>
      <c r="BN51" s="26">
        <f t="shared" si="19"/>
        <v>-227239331.66544518</v>
      </c>
      <c r="BO51" s="26">
        <f t="shared" si="19"/>
        <v>-215279492.23474476</v>
      </c>
      <c r="BP51" s="26">
        <f t="shared" si="19"/>
        <v>-203319658.36722684</v>
      </c>
      <c r="BQ51" s="26">
        <f t="shared" si="19"/>
        <v>-191359828.24270895</v>
      </c>
      <c r="BR51" s="26">
        <f t="shared" si="19"/>
        <v>-179400000</v>
      </c>
      <c r="BS51" s="7"/>
      <c r="BT51" s="25"/>
      <c r="BU51" s="15">
        <v>6.0000000000000005E-2</v>
      </c>
      <c r="BV51" s="17">
        <v>0</v>
      </c>
      <c r="BW51" s="17">
        <f t="shared" si="26"/>
        <v>0.41095890410958902</v>
      </c>
      <c r="BX51" s="17">
        <f t="shared" si="26"/>
        <v>0.49446827726349057</v>
      </c>
      <c r="BY51" s="17">
        <f t="shared" si="26"/>
        <v>0.51576565211146774</v>
      </c>
      <c r="BZ51" s="17">
        <f t="shared" si="26"/>
        <v>0.52149397895713612</v>
      </c>
      <c r="CA51" s="17">
        <f t="shared" si="26"/>
        <v>0.52305649933975962</v>
      </c>
      <c r="CB51" s="17">
        <f t="shared" si="26"/>
        <v>0.52348433598989241</v>
      </c>
      <c r="CC51" s="17">
        <f t="shared" si="26"/>
        <v>0.52360160483419294</v>
      </c>
      <c r="CD51" s="17">
        <f t="shared" si="26"/>
        <v>0.52363375707534621</v>
      </c>
      <c r="CE51" s="17">
        <f t="shared" si="26"/>
        <v>0.52364257312109652</v>
      </c>
      <c r="CF51" s="17">
        <f t="shared" si="26"/>
        <v>0.5236449905056163</v>
      </c>
      <c r="CG51" s="17">
        <f t="shared" si="26"/>
        <v>0.52364565336314417</v>
      </c>
      <c r="CH51" s="17">
        <f t="shared" si="26"/>
        <v>0.52364583512190344</v>
      </c>
      <c r="CI51" s="17">
        <f t="shared" si="26"/>
        <v>0.52364588496106157</v>
      </c>
      <c r="CJ51" s="17">
        <f t="shared" si="26"/>
        <v>0.52364589862720901</v>
      </c>
      <c r="CK51" s="17">
        <f t="shared" si="26"/>
        <v>0.52364590237453534</v>
      </c>
      <c r="CL51" s="17">
        <f t="shared" si="26"/>
        <v>0.52364590340207107</v>
      </c>
      <c r="CM51" s="17">
        <f t="shared" si="26"/>
        <v>0.52364590368382657</v>
      </c>
      <c r="CN51" s="17">
        <f t="shared" si="26"/>
        <v>0.52364590376108522</v>
      </c>
      <c r="CO51" s="17">
        <f t="shared" si="26"/>
        <v>0.52364590378227005</v>
      </c>
      <c r="CP51" s="17">
        <f t="shared" si="26"/>
        <v>0.52364590378807896</v>
      </c>
      <c r="CQ51" s="17">
        <f t="shared" si="26"/>
        <v>0.5236459037896718</v>
      </c>
      <c r="CR51" s="17">
        <f t="shared" si="26"/>
        <v>0.52364590379010867</v>
      </c>
      <c r="CS51" s="17">
        <f t="shared" si="26"/>
        <v>0.52364590379022846</v>
      </c>
      <c r="CT51" s="17">
        <f t="shared" si="26"/>
        <v>0.52364590379026121</v>
      </c>
      <c r="CU51" s="17">
        <f t="shared" si="26"/>
        <v>0.52364590379027021</v>
      </c>
      <c r="CV51" s="17">
        <f t="shared" si="26"/>
        <v>0.52364590379027265</v>
      </c>
      <c r="CW51" s="17">
        <f t="shared" si="26"/>
        <v>0.52364590379027331</v>
      </c>
      <c r="CX51" s="17">
        <f t="shared" si="26"/>
        <v>0.52364590379027354</v>
      </c>
      <c r="CY51" s="17">
        <f t="shared" si="26"/>
        <v>0.52364590379027354</v>
      </c>
      <c r="CZ51" s="17">
        <f t="shared" si="16"/>
        <v>100</v>
      </c>
      <c r="DA51" s="7"/>
      <c r="DB51" s="25"/>
      <c r="DC51" s="15">
        <v>6.0000000000000005E-2</v>
      </c>
      <c r="DD51" s="17">
        <f t="shared" si="17"/>
        <v>300</v>
      </c>
      <c r="DE51" s="17">
        <f t="shared" si="18"/>
        <v>175.52509710568881</v>
      </c>
      <c r="DF51" s="17">
        <f t="shared" si="18"/>
        <v>148.2154997989025</v>
      </c>
      <c r="DG51" s="17">
        <f t="shared" si="18"/>
        <v>139.02396643839123</v>
      </c>
      <c r="DH51" s="17">
        <f t="shared" si="18"/>
        <v>134.26814186047949</v>
      </c>
      <c r="DI51" s="17">
        <f t="shared" si="18"/>
        <v>130.6718048221812</v>
      </c>
      <c r="DJ51" s="17">
        <f t="shared" si="18"/>
        <v>127.38375604367626</v>
      </c>
      <c r="DK51" s="17">
        <f t="shared" si="18"/>
        <v>124.17802065708145</v>
      </c>
      <c r="DL51" s="17">
        <f t="shared" si="18"/>
        <v>120.99427953367248</v>
      </c>
      <c r="DM51" s="17">
        <f t="shared" si="18"/>
        <v>117.81641533183299</v>
      </c>
      <c r="DN51" s="17">
        <f t="shared" si="18"/>
        <v>114.64012251584778</v>
      </c>
      <c r="DO51" s="17">
        <f t="shared" si="18"/>
        <v>111.46425172045419</v>
      </c>
      <c r="DP51" s="17">
        <f t="shared" si="18"/>
        <v>108.28849646419691</v>
      </c>
      <c r="DQ51" s="17">
        <f t="shared" si="18"/>
        <v>105.11277518997041</v>
      </c>
      <c r="DR51" s="17">
        <f t="shared" si="18"/>
        <v>101.93706629137679</v>
      </c>
      <c r="DS51" s="17">
        <f t="shared" si="18"/>
        <v>98.761364101356165</v>
      </c>
      <c r="DT51" s="17">
        <f t="shared" si="18"/>
        <v>95.585667159413163</v>
      </c>
      <c r="DU51" s="17">
        <f t="shared" si="24"/>
        <v>92.409975086136413</v>
      </c>
      <c r="DV51" s="17">
        <f t="shared" si="24"/>
        <v>89.234287751371539</v>
      </c>
      <c r="DW51" s="17">
        <f t="shared" si="24"/>
        <v>86.058605053388291</v>
      </c>
      <c r="DX51" s="17">
        <f t="shared" si="24"/>
        <v>82.882926860962272</v>
      </c>
      <c r="DY51" s="17">
        <f t="shared" si="24"/>
        <v>79.707252999149816</v>
      </c>
      <c r="DZ51" s="17">
        <f t="shared" si="24"/>
        <v>76.531583247053646</v>
      </c>
      <c r="EA51" s="17">
        <f t="shared" si="24"/>
        <v>73.355917339144128</v>
      </c>
      <c r="EB51" s="17">
        <f t="shared" si="24"/>
        <v>70.180254967878057</v>
      </c>
      <c r="EC51" s="17">
        <f t="shared" si="20"/>
        <v>67.004595786991501</v>
      </c>
      <c r="ED51" s="17">
        <f t="shared" si="20"/>
        <v>63.828939415273233</v>
      </c>
      <c r="EE51" s="17">
        <f t="shared" si="20"/>
        <v>60.653285440736092</v>
      </c>
      <c r="EF51" s="17">
        <f t="shared" si="20"/>
        <v>57.47763342512944</v>
      </c>
      <c r="EG51" s="17">
        <f t="shared" si="20"/>
        <v>54.301982908740229</v>
      </c>
      <c r="EH51" s="17">
        <f t="shared" si="20"/>
        <v>51.126333415429791</v>
      </c>
    </row>
    <row r="52" spans="5:138" ht="15.6" x14ac:dyDescent="0.3">
      <c r="E52" s="25"/>
      <c r="F52" s="15">
        <v>5.6666666666666671E-2</v>
      </c>
      <c r="G52" s="7">
        <f t="shared" si="10"/>
        <v>300</v>
      </c>
      <c r="H52" s="7">
        <f t="shared" si="11"/>
        <v>293.33323995443419</v>
      </c>
      <c r="I52" s="7">
        <f t="shared" si="11"/>
        <v>286.66648093194709</v>
      </c>
      <c r="J52" s="7">
        <f t="shared" si="11"/>
        <v>279.99972394440846</v>
      </c>
      <c r="K52" s="7">
        <f t="shared" si="11"/>
        <v>273.33296998139269</v>
      </c>
      <c r="L52" s="7">
        <f t="shared" si="11"/>
        <v>266.66621999933682</v>
      </c>
      <c r="M52" s="7">
        <f t="shared" si="11"/>
        <v>259.99947491106167</v>
      </c>
      <c r="N52" s="7">
        <f t="shared" si="11"/>
        <v>253.33273557577093</v>
      </c>
      <c r="O52" s="7">
        <f t="shared" si="11"/>
        <v>246.66600278963705</v>
      </c>
      <c r="P52" s="7">
        <f t="shared" si="11"/>
        <v>239.9992772770789</v>
      </c>
      <c r="Q52" s="7">
        <f t="shared" si="11"/>
        <v>233.3325596828243</v>
      </c>
      <c r="R52" s="7">
        <f t="shared" si="11"/>
        <v>226.66585056484652</v>
      </c>
      <c r="S52" s="7">
        <f t="shared" si="11"/>
        <v>219.99915038825105</v>
      </c>
      <c r="T52" s="7">
        <f t="shared" si="11"/>
        <v>213.33245952017973</v>
      </c>
      <c r="U52" s="7">
        <f t="shared" si="11"/>
        <v>206.66577822578819</v>
      </c>
      <c r="V52" s="7">
        <f t="shared" si="11"/>
        <v>199.99910666534083</v>
      </c>
      <c r="W52" s="7">
        <f t="shared" si="11"/>
        <v>193.33244489245493</v>
      </c>
      <c r="X52" s="7">
        <f t="shared" si="25"/>
        <v>186.66579285351321</v>
      </c>
      <c r="Y52" s="7">
        <f t="shared" si="25"/>
        <v>179.99915038825122</v>
      </c>
      <c r="Z52" s="7">
        <f t="shared" si="25"/>
        <v>173.33251723151338</v>
      </c>
      <c r="AA52" s="7">
        <f t="shared" si="25"/>
        <v>166.66589301615784</v>
      </c>
      <c r="AB52" s="7">
        <f t="shared" si="21"/>
        <v>159.99927727707919</v>
      </c>
      <c r="AC52" s="7">
        <f t="shared" si="21"/>
        <v>153.3326694563041</v>
      </c>
      <c r="AD52" s="7">
        <f t="shared" si="21"/>
        <v>146.66606890910467</v>
      </c>
      <c r="AE52" s="7">
        <f t="shared" si="21"/>
        <v>139.99947491106212</v>
      </c>
      <c r="AF52" s="7">
        <f t="shared" si="21"/>
        <v>133.33288666600387</v>
      </c>
      <c r="AG52" s="7">
        <f t="shared" si="21"/>
        <v>126.66630331472635</v>
      </c>
      <c r="AH52" s="7">
        <f t="shared" si="21"/>
        <v>119.99972394440871</v>
      </c>
      <c r="AI52" s="7">
        <f t="shared" si="12"/>
        <v>113.33314759861392</v>
      </c>
      <c r="AJ52" s="7">
        <f t="shared" si="12"/>
        <v>106.66657328776756</v>
      </c>
      <c r="AK52" s="7">
        <f t="shared" si="13"/>
        <v>100</v>
      </c>
      <c r="AL52" s="25"/>
      <c r="AM52" s="15">
        <v>5.6666666666666671E-2</v>
      </c>
      <c r="AN52" s="26">
        <f t="shared" si="14"/>
        <v>-538200000</v>
      </c>
      <c r="AO52" s="26">
        <f t="shared" si="14"/>
        <v>-526239828.24270886</v>
      </c>
      <c r="AP52" s="26">
        <f t="shared" si="14"/>
        <v>-514279658.36722654</v>
      </c>
      <c r="AQ52" s="26">
        <f t="shared" si="14"/>
        <v>-502319492.23474425</v>
      </c>
      <c r="AR52" s="26">
        <f t="shared" si="14"/>
        <v>-490359331.66544449</v>
      </c>
      <c r="AS52" s="26">
        <f t="shared" si="14"/>
        <v>-478399178.418558</v>
      </c>
      <c r="AT52" s="26">
        <f t="shared" si="14"/>
        <v>-466439034.17308962</v>
      </c>
      <c r="AU52" s="26">
        <f t="shared" si="14"/>
        <v>-454478900.50942326</v>
      </c>
      <c r="AV52" s="26">
        <f t="shared" si="14"/>
        <v>-442518778.89200556</v>
      </c>
      <c r="AW52" s="26">
        <f t="shared" si="14"/>
        <v>-430558670.65330279</v>
      </c>
      <c r="AX52" s="26">
        <f t="shared" si="14"/>
        <v>-418598576.97920048</v>
      </c>
      <c r="AY52" s="26">
        <f t="shared" si="14"/>
        <v>-406638498.89601189</v>
      </c>
      <c r="AZ52" s="26">
        <f t="shared" si="14"/>
        <v>-394678437.25923258</v>
      </c>
      <c r="BA52" s="26">
        <f t="shared" si="14"/>
        <v>-382718392.7441681</v>
      </c>
      <c r="BB52" s="26">
        <f t="shared" si="14"/>
        <v>-370758365.83853507</v>
      </c>
      <c r="BC52" s="26">
        <f t="shared" si="14"/>
        <v>-358798356.83711696</v>
      </c>
      <c r="BD52" s="26">
        <f t="shared" si="22"/>
        <v>-346838365.83853525</v>
      </c>
      <c r="BE52" s="26">
        <f t="shared" si="22"/>
        <v>-334878392.74416846</v>
      </c>
      <c r="BF52" s="26">
        <f t="shared" si="22"/>
        <v>-322918437.25923288</v>
      </c>
      <c r="BG52" s="26">
        <f t="shared" si="22"/>
        <v>-310958498.89601213</v>
      </c>
      <c r="BH52" s="26">
        <f t="shared" si="22"/>
        <v>-298998576.9792009</v>
      </c>
      <c r="BI52" s="26">
        <f t="shared" si="22"/>
        <v>-287038670.65330327</v>
      </c>
      <c r="BJ52" s="26">
        <f t="shared" si="22"/>
        <v>-275078778.89200634</v>
      </c>
      <c r="BK52" s="26">
        <f t="shared" si="22"/>
        <v>-263118900.50942412</v>
      </c>
      <c r="BL52" s="26">
        <f t="shared" si="19"/>
        <v>-251159034.17309055</v>
      </c>
      <c r="BM52" s="26">
        <f t="shared" si="19"/>
        <v>-239199178.41855872</v>
      </c>
      <c r="BN52" s="26">
        <f t="shared" si="19"/>
        <v>-227239331.66544515</v>
      </c>
      <c r="BO52" s="26">
        <f t="shared" si="19"/>
        <v>-215279492.23474473</v>
      </c>
      <c r="BP52" s="26">
        <f t="shared" si="19"/>
        <v>-203319658.36722681</v>
      </c>
      <c r="BQ52" s="26">
        <f t="shared" si="19"/>
        <v>-191359828.24270895</v>
      </c>
      <c r="BR52" s="26">
        <f t="shared" si="19"/>
        <v>-179400000</v>
      </c>
      <c r="BS52" s="7"/>
      <c r="BT52" s="25"/>
      <c r="BU52" s="15">
        <v>5.6666666666666671E-2</v>
      </c>
      <c r="BV52" s="17">
        <v>0</v>
      </c>
      <c r="BW52" s="17">
        <f t="shared" si="26"/>
        <v>0.41095890410958902</v>
      </c>
      <c r="BX52" s="17">
        <f t="shared" si="26"/>
        <v>0.49446827726349057</v>
      </c>
      <c r="BY52" s="17">
        <f t="shared" si="26"/>
        <v>0.51576565211146774</v>
      </c>
      <c r="BZ52" s="17">
        <f t="shared" si="26"/>
        <v>0.52149397895713612</v>
      </c>
      <c r="CA52" s="17">
        <f t="shared" si="26"/>
        <v>0.52305649933975962</v>
      </c>
      <c r="CB52" s="17">
        <f t="shared" si="26"/>
        <v>0.52348433598989241</v>
      </c>
      <c r="CC52" s="17">
        <f t="shared" si="26"/>
        <v>0.52360160483419294</v>
      </c>
      <c r="CD52" s="17">
        <f t="shared" si="26"/>
        <v>0.52363375707534621</v>
      </c>
      <c r="CE52" s="17">
        <f t="shared" si="26"/>
        <v>0.52364257312109652</v>
      </c>
      <c r="CF52" s="17">
        <f t="shared" si="26"/>
        <v>0.5236449905056163</v>
      </c>
      <c r="CG52" s="17">
        <f t="shared" si="26"/>
        <v>0.52364565336314417</v>
      </c>
      <c r="CH52" s="17">
        <f t="shared" si="26"/>
        <v>0.52364583512190344</v>
      </c>
      <c r="CI52" s="17">
        <f t="shared" si="26"/>
        <v>0.52364588496106157</v>
      </c>
      <c r="CJ52" s="17">
        <f t="shared" si="26"/>
        <v>0.52364589862720901</v>
      </c>
      <c r="CK52" s="17">
        <f t="shared" si="26"/>
        <v>0.52364590237453534</v>
      </c>
      <c r="CL52" s="17">
        <f t="shared" si="26"/>
        <v>0.52364590340207107</v>
      </c>
      <c r="CM52" s="17">
        <f t="shared" si="26"/>
        <v>0.52364590368382657</v>
      </c>
      <c r="CN52" s="17">
        <f t="shared" si="26"/>
        <v>0.52364590376108522</v>
      </c>
      <c r="CO52" s="17">
        <f t="shared" si="26"/>
        <v>0.52364590378227005</v>
      </c>
      <c r="CP52" s="17">
        <f t="shared" si="26"/>
        <v>0.52364590378807896</v>
      </c>
      <c r="CQ52" s="17">
        <f t="shared" si="26"/>
        <v>0.5236459037896718</v>
      </c>
      <c r="CR52" s="17">
        <f t="shared" si="26"/>
        <v>0.52364590379010867</v>
      </c>
      <c r="CS52" s="17">
        <f t="shared" si="26"/>
        <v>0.52364590379022846</v>
      </c>
      <c r="CT52" s="17">
        <f t="shared" si="26"/>
        <v>0.52364590379026121</v>
      </c>
      <c r="CU52" s="17">
        <f t="shared" si="26"/>
        <v>0.52364590379027021</v>
      </c>
      <c r="CV52" s="17">
        <f t="shared" si="26"/>
        <v>0.52364590379027265</v>
      </c>
      <c r="CW52" s="17">
        <f t="shared" si="26"/>
        <v>0.52364590379027331</v>
      </c>
      <c r="CX52" s="17">
        <f t="shared" si="26"/>
        <v>0.52364590379027354</v>
      </c>
      <c r="CY52" s="17">
        <f t="shared" si="26"/>
        <v>0.52364590379027354</v>
      </c>
      <c r="CZ52" s="17">
        <f t="shared" si="16"/>
        <v>100</v>
      </c>
      <c r="DA52" s="7"/>
      <c r="DB52" s="25"/>
      <c r="DC52" s="15">
        <v>5.6666666666666671E-2</v>
      </c>
      <c r="DD52" s="17">
        <f t="shared" si="17"/>
        <v>300</v>
      </c>
      <c r="DE52" s="17">
        <f t="shared" si="18"/>
        <v>175.52509710568881</v>
      </c>
      <c r="DF52" s="17">
        <f t="shared" si="18"/>
        <v>148.2154997989025</v>
      </c>
      <c r="DG52" s="17">
        <f t="shared" si="18"/>
        <v>139.02396643839123</v>
      </c>
      <c r="DH52" s="17">
        <f t="shared" si="18"/>
        <v>134.26814186047949</v>
      </c>
      <c r="DI52" s="17">
        <f t="shared" si="18"/>
        <v>130.6718048221812</v>
      </c>
      <c r="DJ52" s="17">
        <f t="shared" si="18"/>
        <v>127.38375604367624</v>
      </c>
      <c r="DK52" s="17">
        <f t="shared" si="18"/>
        <v>124.17802065708143</v>
      </c>
      <c r="DL52" s="17">
        <f t="shared" si="18"/>
        <v>120.99427953367245</v>
      </c>
      <c r="DM52" s="17">
        <f t="shared" si="18"/>
        <v>117.81641533183296</v>
      </c>
      <c r="DN52" s="17">
        <f t="shared" si="18"/>
        <v>114.64012251584778</v>
      </c>
      <c r="DO52" s="17">
        <f t="shared" si="18"/>
        <v>111.46425172045419</v>
      </c>
      <c r="DP52" s="17">
        <f t="shared" si="18"/>
        <v>108.2884964641969</v>
      </c>
      <c r="DQ52" s="17">
        <f t="shared" si="18"/>
        <v>105.11277518997039</v>
      </c>
      <c r="DR52" s="17">
        <f t="shared" si="18"/>
        <v>101.93706629137678</v>
      </c>
      <c r="DS52" s="17">
        <f t="shared" si="18"/>
        <v>98.761364101356151</v>
      </c>
      <c r="DT52" s="17">
        <f t="shared" si="18"/>
        <v>95.585667159413163</v>
      </c>
      <c r="DU52" s="17">
        <f t="shared" si="24"/>
        <v>92.409975086136413</v>
      </c>
      <c r="DV52" s="17">
        <f t="shared" si="24"/>
        <v>89.234287751371539</v>
      </c>
      <c r="DW52" s="17">
        <f t="shared" si="24"/>
        <v>86.058605053388277</v>
      </c>
      <c r="DX52" s="17">
        <f t="shared" si="24"/>
        <v>82.882926860962257</v>
      </c>
      <c r="DY52" s="17">
        <f t="shared" si="24"/>
        <v>79.707252999149816</v>
      </c>
      <c r="DZ52" s="17">
        <f t="shared" si="24"/>
        <v>76.531583247053632</v>
      </c>
      <c r="EA52" s="17">
        <f t="shared" si="24"/>
        <v>73.355917339144128</v>
      </c>
      <c r="EB52" s="17">
        <f t="shared" si="24"/>
        <v>70.180254967878057</v>
      </c>
      <c r="EC52" s="17">
        <f t="shared" si="20"/>
        <v>67.004595786991501</v>
      </c>
      <c r="ED52" s="17">
        <f t="shared" si="20"/>
        <v>63.828939415273233</v>
      </c>
      <c r="EE52" s="17">
        <f t="shared" si="20"/>
        <v>60.653285440736084</v>
      </c>
      <c r="EF52" s="17">
        <f t="shared" si="20"/>
        <v>57.477633425129426</v>
      </c>
      <c r="EG52" s="17">
        <f t="shared" si="20"/>
        <v>54.301982908740214</v>
      </c>
      <c r="EH52" s="17">
        <f t="shared" si="20"/>
        <v>51.126333415429777</v>
      </c>
    </row>
    <row r="53" spans="5:138" ht="15.6" x14ac:dyDescent="0.3">
      <c r="E53" s="25"/>
      <c r="F53" s="15">
        <v>5.3333333333333337E-2</v>
      </c>
      <c r="G53" s="7">
        <f t="shared" si="10"/>
        <v>300</v>
      </c>
      <c r="H53" s="7">
        <f t="shared" si="11"/>
        <v>293.33323995443419</v>
      </c>
      <c r="I53" s="7">
        <f t="shared" si="11"/>
        <v>286.66648093194709</v>
      </c>
      <c r="J53" s="7">
        <f t="shared" si="11"/>
        <v>279.99972394440846</v>
      </c>
      <c r="K53" s="7">
        <f t="shared" si="11"/>
        <v>273.33296998139269</v>
      </c>
      <c r="L53" s="7">
        <f t="shared" si="11"/>
        <v>266.66621999933682</v>
      </c>
      <c r="M53" s="7">
        <f t="shared" si="11"/>
        <v>259.99947491106167</v>
      </c>
      <c r="N53" s="7">
        <f t="shared" si="11"/>
        <v>253.3327355757709</v>
      </c>
      <c r="O53" s="7">
        <f t="shared" si="11"/>
        <v>246.66600278963705</v>
      </c>
      <c r="P53" s="7">
        <f t="shared" si="11"/>
        <v>239.99927727707887</v>
      </c>
      <c r="Q53" s="7">
        <f t="shared" si="11"/>
        <v>233.33255968282424</v>
      </c>
      <c r="R53" s="7">
        <f t="shared" si="11"/>
        <v>226.66585056484649</v>
      </c>
      <c r="S53" s="7">
        <f t="shared" si="11"/>
        <v>219.99915038825102</v>
      </c>
      <c r="T53" s="7">
        <f t="shared" si="11"/>
        <v>213.33245952017967</v>
      </c>
      <c r="U53" s="7">
        <f t="shared" si="11"/>
        <v>206.66577822578813</v>
      </c>
      <c r="V53" s="7">
        <f t="shared" si="11"/>
        <v>199.99910666534078</v>
      </c>
      <c r="W53" s="7">
        <f t="shared" si="11"/>
        <v>193.3324448924549</v>
      </c>
      <c r="X53" s="7">
        <f t="shared" si="25"/>
        <v>186.66579285351318</v>
      </c>
      <c r="Y53" s="7">
        <f t="shared" si="25"/>
        <v>179.99915038825119</v>
      </c>
      <c r="Z53" s="7">
        <f t="shared" si="25"/>
        <v>173.33251723151335</v>
      </c>
      <c r="AA53" s="7">
        <f t="shared" si="25"/>
        <v>166.66589301615781</v>
      </c>
      <c r="AB53" s="7">
        <f t="shared" si="21"/>
        <v>159.99927727707916</v>
      </c>
      <c r="AC53" s="7">
        <f t="shared" si="21"/>
        <v>153.3326694563041</v>
      </c>
      <c r="AD53" s="7">
        <f t="shared" si="21"/>
        <v>146.66606890910467</v>
      </c>
      <c r="AE53" s="7">
        <f t="shared" si="21"/>
        <v>139.99947491106212</v>
      </c>
      <c r="AF53" s="7">
        <f t="shared" si="21"/>
        <v>133.33288666600384</v>
      </c>
      <c r="AG53" s="7">
        <f t="shared" si="21"/>
        <v>126.66630331472635</v>
      </c>
      <c r="AH53" s="7">
        <f t="shared" si="21"/>
        <v>119.99972394440871</v>
      </c>
      <c r="AI53" s="7">
        <f t="shared" si="12"/>
        <v>113.33314759861392</v>
      </c>
      <c r="AJ53" s="7">
        <f t="shared" si="12"/>
        <v>106.66657328776756</v>
      </c>
      <c r="AK53" s="7">
        <f t="shared" si="13"/>
        <v>100</v>
      </c>
      <c r="AL53" s="25"/>
      <c r="AM53" s="15">
        <v>5.3333333333333337E-2</v>
      </c>
      <c r="AN53" s="26">
        <f t="shared" si="14"/>
        <v>-538200000</v>
      </c>
      <c r="AO53" s="26">
        <f t="shared" si="14"/>
        <v>-526239828.24270886</v>
      </c>
      <c r="AP53" s="26">
        <f t="shared" si="14"/>
        <v>-514279658.36722654</v>
      </c>
      <c r="AQ53" s="26">
        <f t="shared" si="14"/>
        <v>-502319492.23474425</v>
      </c>
      <c r="AR53" s="26">
        <f t="shared" si="14"/>
        <v>-490359331.66544449</v>
      </c>
      <c r="AS53" s="26">
        <f t="shared" si="14"/>
        <v>-478399178.418558</v>
      </c>
      <c r="AT53" s="26">
        <f t="shared" si="14"/>
        <v>-466439034.17308962</v>
      </c>
      <c r="AU53" s="26">
        <f t="shared" si="14"/>
        <v>-454478900.5094232</v>
      </c>
      <c r="AV53" s="26">
        <f t="shared" si="14"/>
        <v>-442518778.8920055</v>
      </c>
      <c r="AW53" s="26">
        <f t="shared" si="14"/>
        <v>-430558670.65330279</v>
      </c>
      <c r="AX53" s="26">
        <f t="shared" si="14"/>
        <v>-418598576.97920042</v>
      </c>
      <c r="AY53" s="26">
        <f t="shared" si="14"/>
        <v>-406638498.89601189</v>
      </c>
      <c r="AZ53" s="26">
        <f t="shared" si="14"/>
        <v>-394678437.25923252</v>
      </c>
      <c r="BA53" s="26">
        <f t="shared" si="14"/>
        <v>-382718392.7441681</v>
      </c>
      <c r="BB53" s="26">
        <f t="shared" si="14"/>
        <v>-370758365.83853501</v>
      </c>
      <c r="BC53" s="26">
        <f t="shared" si="14"/>
        <v>-358798356.8371169</v>
      </c>
      <c r="BD53" s="26">
        <f t="shared" si="22"/>
        <v>-346838365.83853519</v>
      </c>
      <c r="BE53" s="26">
        <f t="shared" si="22"/>
        <v>-334878392.7441684</v>
      </c>
      <c r="BF53" s="26">
        <f t="shared" si="22"/>
        <v>-322918437.25923288</v>
      </c>
      <c r="BG53" s="26">
        <f t="shared" si="22"/>
        <v>-310958498.89601213</v>
      </c>
      <c r="BH53" s="26">
        <f t="shared" si="22"/>
        <v>-298998576.97920084</v>
      </c>
      <c r="BI53" s="26">
        <f t="shared" si="22"/>
        <v>-287038670.65330321</v>
      </c>
      <c r="BJ53" s="26">
        <f t="shared" si="22"/>
        <v>-275078778.89200634</v>
      </c>
      <c r="BK53" s="26">
        <f t="shared" si="22"/>
        <v>-263118900.50942412</v>
      </c>
      <c r="BL53" s="26">
        <f t="shared" si="19"/>
        <v>-251159034.17309055</v>
      </c>
      <c r="BM53" s="26">
        <f t="shared" si="19"/>
        <v>-239199178.41855866</v>
      </c>
      <c r="BN53" s="26">
        <f t="shared" si="19"/>
        <v>-227239331.66544515</v>
      </c>
      <c r="BO53" s="26">
        <f t="shared" si="19"/>
        <v>-215279492.23474473</v>
      </c>
      <c r="BP53" s="26">
        <f t="shared" si="19"/>
        <v>-203319658.36722678</v>
      </c>
      <c r="BQ53" s="26">
        <f t="shared" si="19"/>
        <v>-191359828.24270895</v>
      </c>
      <c r="BR53" s="26">
        <f t="shared" si="19"/>
        <v>-179400000</v>
      </c>
      <c r="BS53" s="7"/>
      <c r="BT53" s="25"/>
      <c r="BU53" s="15">
        <v>5.3333333333333337E-2</v>
      </c>
      <c r="BV53" s="17">
        <v>0</v>
      </c>
      <c r="BW53" s="17">
        <f t="shared" si="26"/>
        <v>0.41095890410958902</v>
      </c>
      <c r="BX53" s="17">
        <f t="shared" si="26"/>
        <v>0.49446827726349057</v>
      </c>
      <c r="BY53" s="17">
        <f t="shared" si="26"/>
        <v>0.51576565211146774</v>
      </c>
      <c r="BZ53" s="17">
        <f t="shared" si="26"/>
        <v>0.52149397895713612</v>
      </c>
      <c r="CA53" s="17">
        <f t="shared" si="26"/>
        <v>0.52305649933975962</v>
      </c>
      <c r="CB53" s="17">
        <f t="shared" si="26"/>
        <v>0.52348433598989241</v>
      </c>
      <c r="CC53" s="17">
        <f t="shared" si="26"/>
        <v>0.52360160483419294</v>
      </c>
      <c r="CD53" s="17">
        <f t="shared" si="26"/>
        <v>0.52363375707534621</v>
      </c>
      <c r="CE53" s="17">
        <f t="shared" si="26"/>
        <v>0.52364257312109652</v>
      </c>
      <c r="CF53" s="17">
        <f t="shared" si="26"/>
        <v>0.5236449905056163</v>
      </c>
      <c r="CG53" s="17">
        <f t="shared" si="26"/>
        <v>0.52364565336314417</v>
      </c>
      <c r="CH53" s="17">
        <f t="shared" si="26"/>
        <v>0.52364583512190344</v>
      </c>
      <c r="CI53" s="17">
        <f t="shared" si="26"/>
        <v>0.52364588496106157</v>
      </c>
      <c r="CJ53" s="17">
        <f t="shared" si="26"/>
        <v>0.52364589862720901</v>
      </c>
      <c r="CK53" s="17">
        <f t="shared" si="26"/>
        <v>0.52364590237453534</v>
      </c>
      <c r="CL53" s="17">
        <f t="shared" si="26"/>
        <v>0.52364590340207107</v>
      </c>
      <c r="CM53" s="17">
        <f t="shared" si="26"/>
        <v>0.52364590368382657</v>
      </c>
      <c r="CN53" s="17">
        <f t="shared" si="26"/>
        <v>0.52364590376108522</v>
      </c>
      <c r="CO53" s="17">
        <f t="shared" si="26"/>
        <v>0.52364590378227005</v>
      </c>
      <c r="CP53" s="17">
        <f t="shared" si="26"/>
        <v>0.52364590378807896</v>
      </c>
      <c r="CQ53" s="17">
        <f t="shared" si="26"/>
        <v>0.5236459037896718</v>
      </c>
      <c r="CR53" s="17">
        <f t="shared" si="26"/>
        <v>0.52364590379010867</v>
      </c>
      <c r="CS53" s="17">
        <f t="shared" si="26"/>
        <v>0.52364590379022846</v>
      </c>
      <c r="CT53" s="17">
        <f t="shared" si="26"/>
        <v>0.52364590379026121</v>
      </c>
      <c r="CU53" s="17">
        <f t="shared" si="26"/>
        <v>0.52364590379027021</v>
      </c>
      <c r="CV53" s="17">
        <f t="shared" si="26"/>
        <v>0.52364590379027265</v>
      </c>
      <c r="CW53" s="17">
        <f t="shared" si="26"/>
        <v>0.52364590379027331</v>
      </c>
      <c r="CX53" s="17">
        <f t="shared" si="26"/>
        <v>0.52364590379027354</v>
      </c>
      <c r="CY53" s="17">
        <f t="shared" si="26"/>
        <v>0.52364590379027354</v>
      </c>
      <c r="CZ53" s="17">
        <f t="shared" si="16"/>
        <v>100</v>
      </c>
      <c r="DA53" s="7"/>
      <c r="DB53" s="25"/>
      <c r="DC53" s="15">
        <v>5.3333333333333337E-2</v>
      </c>
      <c r="DD53" s="17">
        <f t="shared" si="17"/>
        <v>300</v>
      </c>
      <c r="DE53" s="17">
        <f t="shared" si="18"/>
        <v>175.52509710568881</v>
      </c>
      <c r="DF53" s="17">
        <f t="shared" si="18"/>
        <v>148.2154997989025</v>
      </c>
      <c r="DG53" s="17">
        <f t="shared" si="18"/>
        <v>139.02396643839123</v>
      </c>
      <c r="DH53" s="17">
        <f t="shared" si="18"/>
        <v>134.26814186047949</v>
      </c>
      <c r="DI53" s="17">
        <f t="shared" si="18"/>
        <v>130.6718048221812</v>
      </c>
      <c r="DJ53" s="17">
        <f t="shared" si="18"/>
        <v>127.38375604367624</v>
      </c>
      <c r="DK53" s="17">
        <f t="shared" si="18"/>
        <v>124.17802065708142</v>
      </c>
      <c r="DL53" s="17">
        <f t="shared" si="18"/>
        <v>120.99427953367245</v>
      </c>
      <c r="DM53" s="17">
        <f t="shared" si="18"/>
        <v>117.81641533183296</v>
      </c>
      <c r="DN53" s="17">
        <f t="shared" si="18"/>
        <v>114.64012251584776</v>
      </c>
      <c r="DO53" s="17">
        <f t="shared" si="18"/>
        <v>111.46425172045416</v>
      </c>
      <c r="DP53" s="17">
        <f t="shared" si="18"/>
        <v>108.28849646419688</v>
      </c>
      <c r="DQ53" s="17">
        <f t="shared" si="18"/>
        <v>105.11277518997036</v>
      </c>
      <c r="DR53" s="17">
        <f t="shared" si="18"/>
        <v>101.93706629137675</v>
      </c>
      <c r="DS53" s="17">
        <f t="shared" si="18"/>
        <v>98.761364101356122</v>
      </c>
      <c r="DT53" s="17">
        <f t="shared" si="18"/>
        <v>95.585667159413134</v>
      </c>
      <c r="DU53" s="17">
        <f t="shared" si="24"/>
        <v>92.409975086136384</v>
      </c>
      <c r="DV53" s="17">
        <f t="shared" si="24"/>
        <v>89.234287751371511</v>
      </c>
      <c r="DW53" s="17">
        <f t="shared" si="24"/>
        <v>86.058605053388263</v>
      </c>
      <c r="DX53" s="17">
        <f t="shared" si="24"/>
        <v>82.882926860962243</v>
      </c>
      <c r="DY53" s="17">
        <f t="shared" si="24"/>
        <v>79.707252999149787</v>
      </c>
      <c r="DZ53" s="17">
        <f t="shared" si="24"/>
        <v>76.531583247053632</v>
      </c>
      <c r="EA53" s="17">
        <f t="shared" si="24"/>
        <v>73.355917339144128</v>
      </c>
      <c r="EB53" s="17">
        <f t="shared" si="24"/>
        <v>70.180254967878057</v>
      </c>
      <c r="EC53" s="17">
        <f t="shared" si="20"/>
        <v>67.004595786991487</v>
      </c>
      <c r="ED53" s="17">
        <f t="shared" si="20"/>
        <v>63.828939415273226</v>
      </c>
      <c r="EE53" s="17">
        <f t="shared" si="20"/>
        <v>60.653285440736084</v>
      </c>
      <c r="EF53" s="17">
        <f t="shared" si="20"/>
        <v>57.477633425129426</v>
      </c>
      <c r="EG53" s="17">
        <f t="shared" si="20"/>
        <v>54.301982908740214</v>
      </c>
      <c r="EH53" s="17">
        <f t="shared" si="20"/>
        <v>51.126333415429777</v>
      </c>
    </row>
    <row r="54" spans="5:138" ht="15.6" x14ac:dyDescent="0.3">
      <c r="E54" s="25"/>
      <c r="F54" s="15">
        <v>0.05</v>
      </c>
      <c r="G54" s="7">
        <f t="shared" si="10"/>
        <v>300</v>
      </c>
      <c r="H54" s="7">
        <f t="shared" si="11"/>
        <v>293.33323995443413</v>
      </c>
      <c r="I54" s="7">
        <f t="shared" si="11"/>
        <v>286.66648093194704</v>
      </c>
      <c r="J54" s="7">
        <f t="shared" si="11"/>
        <v>279.9997239444084</v>
      </c>
      <c r="K54" s="7">
        <f t="shared" si="11"/>
        <v>273.33296998139258</v>
      </c>
      <c r="L54" s="7">
        <f t="shared" si="11"/>
        <v>266.6662199993367</v>
      </c>
      <c r="M54" s="7">
        <f t="shared" si="11"/>
        <v>259.99947491106161</v>
      </c>
      <c r="N54" s="7">
        <f t="shared" si="11"/>
        <v>253.33273557577087</v>
      </c>
      <c r="O54" s="7">
        <f t="shared" si="11"/>
        <v>246.66600278963699</v>
      </c>
      <c r="P54" s="7">
        <f t="shared" si="11"/>
        <v>239.99927727707882</v>
      </c>
      <c r="Q54" s="7">
        <f t="shared" si="11"/>
        <v>233.33255968282418</v>
      </c>
      <c r="R54" s="7">
        <f t="shared" si="11"/>
        <v>226.66585056484644</v>
      </c>
      <c r="S54" s="7">
        <f t="shared" si="11"/>
        <v>219.999150388251</v>
      </c>
      <c r="T54" s="7">
        <f t="shared" si="11"/>
        <v>213.33245952017967</v>
      </c>
      <c r="U54" s="7">
        <f t="shared" si="11"/>
        <v>206.66577822578813</v>
      </c>
      <c r="V54" s="7">
        <f t="shared" si="11"/>
        <v>199.99910666534078</v>
      </c>
      <c r="W54" s="7">
        <f t="shared" si="11"/>
        <v>193.3324448924549</v>
      </c>
      <c r="X54" s="7">
        <f t="shared" si="25"/>
        <v>186.66579285351318</v>
      </c>
      <c r="Y54" s="7">
        <f t="shared" si="25"/>
        <v>179.99915038825119</v>
      </c>
      <c r="Z54" s="7">
        <f t="shared" si="25"/>
        <v>173.33251723151335</v>
      </c>
      <c r="AA54" s="7">
        <f t="shared" si="25"/>
        <v>166.66589301615778</v>
      </c>
      <c r="AB54" s="7">
        <f t="shared" si="21"/>
        <v>159.99927727707916</v>
      </c>
      <c r="AC54" s="7">
        <f t="shared" si="21"/>
        <v>153.33266945630407</v>
      </c>
      <c r="AD54" s="7">
        <f t="shared" si="21"/>
        <v>146.66606890910464</v>
      </c>
      <c r="AE54" s="7">
        <f t="shared" si="21"/>
        <v>139.99947491106209</v>
      </c>
      <c r="AF54" s="7">
        <f t="shared" si="21"/>
        <v>133.33288666600384</v>
      </c>
      <c r="AG54" s="7">
        <f t="shared" si="21"/>
        <v>126.66630331472635</v>
      </c>
      <c r="AH54" s="7">
        <f t="shared" si="21"/>
        <v>119.99972394440871</v>
      </c>
      <c r="AI54" s="7">
        <f t="shared" si="12"/>
        <v>113.33314759861392</v>
      </c>
      <c r="AJ54" s="7">
        <f t="shared" si="12"/>
        <v>106.66657328776756</v>
      </c>
      <c r="AK54" s="7">
        <f t="shared" si="13"/>
        <v>100</v>
      </c>
      <c r="AL54" s="25"/>
      <c r="AM54" s="15">
        <v>0.05</v>
      </c>
      <c r="AN54" s="26">
        <f t="shared" si="14"/>
        <v>-538200000</v>
      </c>
      <c r="AO54" s="26">
        <f t="shared" si="14"/>
        <v>-526239828.24270886</v>
      </c>
      <c r="AP54" s="26">
        <f t="shared" si="14"/>
        <v>-514279658.36722654</v>
      </c>
      <c r="AQ54" s="26">
        <f t="shared" si="14"/>
        <v>-502319492.23474425</v>
      </c>
      <c r="AR54" s="26">
        <f t="shared" si="14"/>
        <v>-490359331.66544437</v>
      </c>
      <c r="AS54" s="26">
        <f t="shared" si="14"/>
        <v>-478399178.41855794</v>
      </c>
      <c r="AT54" s="26">
        <f t="shared" si="14"/>
        <v>-466439034.17308962</v>
      </c>
      <c r="AU54" s="26">
        <f t="shared" si="14"/>
        <v>-454478900.50942314</v>
      </c>
      <c r="AV54" s="26">
        <f t="shared" si="14"/>
        <v>-442518778.89200538</v>
      </c>
      <c r="AW54" s="26">
        <f t="shared" si="14"/>
        <v>-430558670.65330267</v>
      </c>
      <c r="AX54" s="26">
        <f t="shared" si="14"/>
        <v>-418598576.9792003</v>
      </c>
      <c r="AY54" s="26">
        <f t="shared" si="14"/>
        <v>-406638498.89601183</v>
      </c>
      <c r="AZ54" s="26">
        <f t="shared" si="14"/>
        <v>-394678437.25923252</v>
      </c>
      <c r="BA54" s="26">
        <f t="shared" si="14"/>
        <v>-382718392.7441681</v>
      </c>
      <c r="BB54" s="26">
        <f t="shared" si="14"/>
        <v>-370758365.83853495</v>
      </c>
      <c r="BC54" s="26">
        <f t="shared" si="14"/>
        <v>-358798356.8371169</v>
      </c>
      <c r="BD54" s="26">
        <f t="shared" si="22"/>
        <v>-346838365.83853513</v>
      </c>
      <c r="BE54" s="26">
        <f t="shared" si="22"/>
        <v>-334878392.7441684</v>
      </c>
      <c r="BF54" s="26">
        <f t="shared" si="22"/>
        <v>-322918437.25923288</v>
      </c>
      <c r="BG54" s="26">
        <f t="shared" si="22"/>
        <v>-310958498.89601213</v>
      </c>
      <c r="BH54" s="26">
        <f t="shared" si="22"/>
        <v>-298998576.97920078</v>
      </c>
      <c r="BI54" s="26">
        <f t="shared" si="22"/>
        <v>-287038670.65330321</v>
      </c>
      <c r="BJ54" s="26">
        <f t="shared" si="22"/>
        <v>-275078778.89200634</v>
      </c>
      <c r="BK54" s="26">
        <f t="shared" si="22"/>
        <v>-263118900.50942403</v>
      </c>
      <c r="BL54" s="26">
        <f t="shared" si="19"/>
        <v>-251159034.17309049</v>
      </c>
      <c r="BM54" s="26">
        <f t="shared" si="19"/>
        <v>-239199178.41855866</v>
      </c>
      <c r="BN54" s="26">
        <f t="shared" si="19"/>
        <v>-227239331.66544512</v>
      </c>
      <c r="BO54" s="26">
        <f t="shared" si="19"/>
        <v>-215279492.23474473</v>
      </c>
      <c r="BP54" s="26">
        <f t="shared" si="19"/>
        <v>-203319658.36722675</v>
      </c>
      <c r="BQ54" s="26">
        <f t="shared" si="19"/>
        <v>-191359828.24270895</v>
      </c>
      <c r="BR54" s="26">
        <f t="shared" si="19"/>
        <v>-179400000</v>
      </c>
      <c r="BS54" s="7"/>
      <c r="BT54" s="25"/>
      <c r="BU54" s="15">
        <v>0.05</v>
      </c>
      <c r="BV54" s="17">
        <v>0</v>
      </c>
      <c r="BW54" s="17">
        <f t="shared" si="26"/>
        <v>0.41095890410958902</v>
      </c>
      <c r="BX54" s="17">
        <f t="shared" si="26"/>
        <v>0.49446827726349057</v>
      </c>
      <c r="BY54" s="17">
        <f t="shared" si="26"/>
        <v>0.51576565211146774</v>
      </c>
      <c r="BZ54" s="17">
        <f t="shared" si="26"/>
        <v>0.52149397895713612</v>
      </c>
      <c r="CA54" s="17">
        <f t="shared" si="26"/>
        <v>0.52305649933975962</v>
      </c>
      <c r="CB54" s="17">
        <f t="shared" si="26"/>
        <v>0.52348433598989241</v>
      </c>
      <c r="CC54" s="17">
        <f t="shared" si="26"/>
        <v>0.52360160483419294</v>
      </c>
      <c r="CD54" s="17">
        <f t="shared" si="26"/>
        <v>0.52363375707534621</v>
      </c>
      <c r="CE54" s="17">
        <f t="shared" si="26"/>
        <v>0.52364257312109652</v>
      </c>
      <c r="CF54" s="17">
        <f t="shared" si="26"/>
        <v>0.5236449905056163</v>
      </c>
      <c r="CG54" s="17">
        <f t="shared" si="26"/>
        <v>0.52364565336314417</v>
      </c>
      <c r="CH54" s="17">
        <f t="shared" si="26"/>
        <v>0.52364583512190344</v>
      </c>
      <c r="CI54" s="17">
        <f t="shared" si="26"/>
        <v>0.52364588496106157</v>
      </c>
      <c r="CJ54" s="17">
        <f t="shared" si="26"/>
        <v>0.52364589862720901</v>
      </c>
      <c r="CK54" s="17">
        <f t="shared" si="26"/>
        <v>0.52364590237453534</v>
      </c>
      <c r="CL54" s="17">
        <f t="shared" si="26"/>
        <v>0.52364590340207107</v>
      </c>
      <c r="CM54" s="17">
        <f t="shared" si="26"/>
        <v>0.52364590368382657</v>
      </c>
      <c r="CN54" s="17">
        <f t="shared" si="26"/>
        <v>0.52364590376108522</v>
      </c>
      <c r="CO54" s="17">
        <f t="shared" si="26"/>
        <v>0.52364590378227005</v>
      </c>
      <c r="CP54" s="17">
        <f t="shared" si="26"/>
        <v>0.52364590378807896</v>
      </c>
      <c r="CQ54" s="17">
        <f t="shared" si="26"/>
        <v>0.5236459037896718</v>
      </c>
      <c r="CR54" s="17">
        <f t="shared" si="26"/>
        <v>0.52364590379010867</v>
      </c>
      <c r="CS54" s="17">
        <f t="shared" si="26"/>
        <v>0.52364590379022846</v>
      </c>
      <c r="CT54" s="17">
        <f t="shared" si="26"/>
        <v>0.52364590379026121</v>
      </c>
      <c r="CU54" s="17">
        <f t="shared" si="26"/>
        <v>0.52364590379027021</v>
      </c>
      <c r="CV54" s="17">
        <f t="shared" si="26"/>
        <v>0.52364590379027265</v>
      </c>
      <c r="CW54" s="17">
        <f t="shared" si="26"/>
        <v>0.52364590379027331</v>
      </c>
      <c r="CX54" s="17">
        <f t="shared" si="26"/>
        <v>0.52364590379027354</v>
      </c>
      <c r="CY54" s="17">
        <f t="shared" si="26"/>
        <v>0.52364590379027354</v>
      </c>
      <c r="CZ54" s="17">
        <f t="shared" si="16"/>
        <v>100</v>
      </c>
      <c r="DA54" s="7"/>
      <c r="DB54" s="25"/>
      <c r="DC54" s="15">
        <v>0.05</v>
      </c>
      <c r="DD54" s="17">
        <f t="shared" si="17"/>
        <v>300</v>
      </c>
      <c r="DE54" s="17">
        <f t="shared" si="18"/>
        <v>175.52509710568881</v>
      </c>
      <c r="DF54" s="17">
        <f t="shared" si="18"/>
        <v>148.2154997989025</v>
      </c>
      <c r="DG54" s="17">
        <f t="shared" si="18"/>
        <v>139.02396643839123</v>
      </c>
      <c r="DH54" s="17">
        <f t="shared" si="18"/>
        <v>134.26814186047946</v>
      </c>
      <c r="DI54" s="17">
        <f t="shared" si="18"/>
        <v>130.67180482218117</v>
      </c>
      <c r="DJ54" s="17">
        <f t="shared" si="18"/>
        <v>127.38375604367623</v>
      </c>
      <c r="DK54" s="17">
        <f t="shared" si="18"/>
        <v>124.17802065708142</v>
      </c>
      <c r="DL54" s="17">
        <f t="shared" si="18"/>
        <v>120.99427953367243</v>
      </c>
      <c r="DM54" s="17">
        <f t="shared" si="18"/>
        <v>117.81641533183293</v>
      </c>
      <c r="DN54" s="17">
        <f t="shared" si="18"/>
        <v>114.64012251584772</v>
      </c>
      <c r="DO54" s="17">
        <f t="shared" si="18"/>
        <v>111.46425172045414</v>
      </c>
      <c r="DP54" s="17">
        <f t="shared" si="18"/>
        <v>108.28849646419687</v>
      </c>
      <c r="DQ54" s="17">
        <f t="shared" si="18"/>
        <v>105.11277518997035</v>
      </c>
      <c r="DR54" s="17">
        <f t="shared" si="18"/>
        <v>101.93706629137675</v>
      </c>
      <c r="DS54" s="17">
        <f t="shared" si="18"/>
        <v>98.761364101356122</v>
      </c>
      <c r="DT54" s="17">
        <f t="shared" si="18"/>
        <v>95.585667159413134</v>
      </c>
      <c r="DU54" s="17">
        <f t="shared" si="24"/>
        <v>92.409975086136384</v>
      </c>
      <c r="DV54" s="17">
        <f t="shared" si="24"/>
        <v>89.234287751371511</v>
      </c>
      <c r="DW54" s="17">
        <f t="shared" si="24"/>
        <v>86.058605053388263</v>
      </c>
      <c r="DX54" s="17">
        <f t="shared" si="24"/>
        <v>82.882926860962229</v>
      </c>
      <c r="DY54" s="17">
        <f t="shared" si="24"/>
        <v>79.707252999149787</v>
      </c>
      <c r="DZ54" s="17">
        <f t="shared" si="24"/>
        <v>76.531583247053632</v>
      </c>
      <c r="EA54" s="17">
        <f t="shared" si="24"/>
        <v>73.355917339144113</v>
      </c>
      <c r="EB54" s="17">
        <f t="shared" si="24"/>
        <v>70.180254967878042</v>
      </c>
      <c r="EC54" s="17">
        <f t="shared" si="20"/>
        <v>67.004595786991487</v>
      </c>
      <c r="ED54" s="17">
        <f t="shared" si="20"/>
        <v>63.828939415273219</v>
      </c>
      <c r="EE54" s="17">
        <f t="shared" si="20"/>
        <v>60.653285440736084</v>
      </c>
      <c r="EF54" s="17">
        <f t="shared" si="20"/>
        <v>57.477633425129426</v>
      </c>
      <c r="EG54" s="17">
        <f t="shared" si="20"/>
        <v>54.301982908740214</v>
      </c>
      <c r="EH54" s="17">
        <f t="shared" si="20"/>
        <v>51.126333415429777</v>
      </c>
    </row>
    <row r="55" spans="5:138" ht="15.6" x14ac:dyDescent="0.3">
      <c r="E55" s="25"/>
      <c r="F55" s="15">
        <v>4.6666666666666669E-2</v>
      </c>
      <c r="G55" s="7">
        <f t="shared" si="10"/>
        <v>300</v>
      </c>
      <c r="H55" s="7">
        <f t="shared" si="11"/>
        <v>293.33323995443413</v>
      </c>
      <c r="I55" s="7">
        <f t="shared" si="11"/>
        <v>286.66648093194704</v>
      </c>
      <c r="J55" s="7">
        <f t="shared" si="11"/>
        <v>279.9997239444084</v>
      </c>
      <c r="K55" s="7">
        <f t="shared" si="11"/>
        <v>273.33296998139258</v>
      </c>
      <c r="L55" s="7">
        <f t="shared" si="11"/>
        <v>266.6662199993367</v>
      </c>
      <c r="M55" s="7">
        <f t="shared" si="11"/>
        <v>259.99947491106161</v>
      </c>
      <c r="N55" s="7">
        <f t="shared" si="11"/>
        <v>253.33273557577087</v>
      </c>
      <c r="O55" s="7">
        <f t="shared" si="11"/>
        <v>246.66600278963699</v>
      </c>
      <c r="P55" s="7">
        <f t="shared" si="11"/>
        <v>239.99927727707882</v>
      </c>
      <c r="Q55" s="7">
        <f t="shared" si="11"/>
        <v>233.33255968282418</v>
      </c>
      <c r="R55" s="7">
        <f t="shared" si="11"/>
        <v>226.66585056484644</v>
      </c>
      <c r="S55" s="7">
        <f t="shared" si="11"/>
        <v>219.999150388251</v>
      </c>
      <c r="T55" s="7">
        <f t="shared" si="11"/>
        <v>213.33245952017967</v>
      </c>
      <c r="U55" s="7">
        <f t="shared" si="11"/>
        <v>206.66577822578813</v>
      </c>
      <c r="V55" s="7">
        <f t="shared" si="11"/>
        <v>199.99910666534078</v>
      </c>
      <c r="W55" s="7">
        <f t="shared" si="11"/>
        <v>193.3324448924549</v>
      </c>
      <c r="X55" s="7">
        <f t="shared" si="25"/>
        <v>186.66579285351318</v>
      </c>
      <c r="Y55" s="7">
        <f t="shared" si="25"/>
        <v>179.99915038825119</v>
      </c>
      <c r="Z55" s="7">
        <f t="shared" si="25"/>
        <v>173.33251723151335</v>
      </c>
      <c r="AA55" s="7">
        <f t="shared" si="25"/>
        <v>166.66589301615778</v>
      </c>
      <c r="AB55" s="7">
        <f t="shared" si="21"/>
        <v>159.99927727707916</v>
      </c>
      <c r="AC55" s="7">
        <f t="shared" si="21"/>
        <v>153.33266945630407</v>
      </c>
      <c r="AD55" s="7">
        <f t="shared" si="21"/>
        <v>146.66606890910464</v>
      </c>
      <c r="AE55" s="7">
        <f t="shared" si="21"/>
        <v>139.99947491106209</v>
      </c>
      <c r="AF55" s="7">
        <f t="shared" si="21"/>
        <v>133.33288666600384</v>
      </c>
      <c r="AG55" s="7">
        <f t="shared" si="21"/>
        <v>126.66630331472635</v>
      </c>
      <c r="AH55" s="7">
        <f t="shared" si="21"/>
        <v>119.99972394440871</v>
      </c>
      <c r="AI55" s="7">
        <f t="shared" si="12"/>
        <v>113.33314759861392</v>
      </c>
      <c r="AJ55" s="7">
        <f t="shared" si="12"/>
        <v>106.66657328776756</v>
      </c>
      <c r="AK55" s="7">
        <f t="shared" si="13"/>
        <v>100</v>
      </c>
      <c r="AL55" s="25"/>
      <c r="AM55" s="15">
        <v>4.6666666666666669E-2</v>
      </c>
      <c r="AN55" s="26">
        <f t="shared" si="14"/>
        <v>-538200000</v>
      </c>
      <c r="AO55" s="26">
        <f t="shared" si="14"/>
        <v>-526239828.24270886</v>
      </c>
      <c r="AP55" s="26">
        <f t="shared" si="14"/>
        <v>-514279658.36722654</v>
      </c>
      <c r="AQ55" s="26">
        <f t="shared" si="14"/>
        <v>-502319492.23474425</v>
      </c>
      <c r="AR55" s="26">
        <f t="shared" si="14"/>
        <v>-490359331.66544437</v>
      </c>
      <c r="AS55" s="26">
        <f t="shared" si="14"/>
        <v>-478399178.41855794</v>
      </c>
      <c r="AT55" s="26">
        <f t="shared" si="14"/>
        <v>-466439034.17308962</v>
      </c>
      <c r="AU55" s="26">
        <f t="shared" si="14"/>
        <v>-454478900.50942314</v>
      </c>
      <c r="AV55" s="26">
        <f t="shared" si="14"/>
        <v>-442518778.89200538</v>
      </c>
      <c r="AW55" s="26">
        <f t="shared" si="14"/>
        <v>-430558670.65330267</v>
      </c>
      <c r="AX55" s="26">
        <f t="shared" si="14"/>
        <v>-418598576.97920024</v>
      </c>
      <c r="AY55" s="26">
        <f t="shared" si="14"/>
        <v>-406638498.89601171</v>
      </c>
      <c r="AZ55" s="26">
        <f t="shared" si="14"/>
        <v>-394678437.25923252</v>
      </c>
      <c r="BA55" s="26">
        <f t="shared" si="14"/>
        <v>-382718392.7441681</v>
      </c>
      <c r="BB55" s="26">
        <f t="shared" si="14"/>
        <v>-370758365.83853495</v>
      </c>
      <c r="BC55" s="26">
        <f t="shared" si="14"/>
        <v>-358798356.8371169</v>
      </c>
      <c r="BD55" s="26">
        <f t="shared" si="22"/>
        <v>-346838365.83853513</v>
      </c>
      <c r="BE55" s="26">
        <f t="shared" si="22"/>
        <v>-334878392.7441684</v>
      </c>
      <c r="BF55" s="26">
        <f t="shared" si="22"/>
        <v>-322918437.25923282</v>
      </c>
      <c r="BG55" s="26">
        <f t="shared" si="22"/>
        <v>-310958498.89601207</v>
      </c>
      <c r="BH55" s="26">
        <f t="shared" si="22"/>
        <v>-298998576.97920078</v>
      </c>
      <c r="BI55" s="26">
        <f t="shared" si="22"/>
        <v>-287038670.65330321</v>
      </c>
      <c r="BJ55" s="26">
        <f t="shared" si="22"/>
        <v>-275078778.89200634</v>
      </c>
      <c r="BK55" s="26">
        <f t="shared" si="22"/>
        <v>-263118900.50942403</v>
      </c>
      <c r="BL55" s="26">
        <f t="shared" si="19"/>
        <v>-251159034.17309046</v>
      </c>
      <c r="BM55" s="26">
        <f t="shared" si="19"/>
        <v>-239199178.41855866</v>
      </c>
      <c r="BN55" s="26">
        <f t="shared" si="19"/>
        <v>-227239331.66544509</v>
      </c>
      <c r="BO55" s="26">
        <f t="shared" si="19"/>
        <v>-215279492.23474473</v>
      </c>
      <c r="BP55" s="26">
        <f t="shared" si="19"/>
        <v>-203319658.36722678</v>
      </c>
      <c r="BQ55" s="26">
        <f t="shared" si="19"/>
        <v>-191359828.24270895</v>
      </c>
      <c r="BR55" s="26">
        <f t="shared" si="19"/>
        <v>-179400000</v>
      </c>
      <c r="BS55" s="7"/>
      <c r="BT55" s="25"/>
      <c r="BU55" s="15">
        <v>4.6666666666666669E-2</v>
      </c>
      <c r="BV55" s="17">
        <v>0</v>
      </c>
      <c r="BW55" s="17">
        <f t="shared" si="26"/>
        <v>0.41095890410958902</v>
      </c>
      <c r="BX55" s="17">
        <f t="shared" si="26"/>
        <v>0.49446827726349057</v>
      </c>
      <c r="BY55" s="17">
        <f t="shared" si="26"/>
        <v>0.51576565211146774</v>
      </c>
      <c r="BZ55" s="17">
        <f t="shared" si="26"/>
        <v>0.52149397895713612</v>
      </c>
      <c r="CA55" s="17">
        <f t="shared" si="26"/>
        <v>0.52305649933975962</v>
      </c>
      <c r="CB55" s="17">
        <f t="shared" si="26"/>
        <v>0.52348433598989241</v>
      </c>
      <c r="CC55" s="17">
        <f t="shared" si="26"/>
        <v>0.52360160483419294</v>
      </c>
      <c r="CD55" s="17">
        <f t="shared" si="26"/>
        <v>0.52363375707534621</v>
      </c>
      <c r="CE55" s="17">
        <f t="shared" si="26"/>
        <v>0.52364257312109652</v>
      </c>
      <c r="CF55" s="17">
        <f t="shared" si="26"/>
        <v>0.5236449905056163</v>
      </c>
      <c r="CG55" s="17">
        <f t="shared" si="26"/>
        <v>0.52364565336314417</v>
      </c>
      <c r="CH55" s="17">
        <f t="shared" si="26"/>
        <v>0.52364583512190344</v>
      </c>
      <c r="CI55" s="17">
        <f t="shared" si="26"/>
        <v>0.52364588496106157</v>
      </c>
      <c r="CJ55" s="17">
        <f t="shared" si="26"/>
        <v>0.52364589862720901</v>
      </c>
      <c r="CK55" s="17">
        <f t="shared" si="26"/>
        <v>0.52364590237453534</v>
      </c>
      <c r="CL55" s="17">
        <f t="shared" si="26"/>
        <v>0.52364590340207107</v>
      </c>
      <c r="CM55" s="17">
        <f t="shared" si="26"/>
        <v>0.52364590368382657</v>
      </c>
      <c r="CN55" s="17">
        <f t="shared" si="26"/>
        <v>0.52364590376108522</v>
      </c>
      <c r="CO55" s="17">
        <f t="shared" si="26"/>
        <v>0.52364590378227005</v>
      </c>
      <c r="CP55" s="17">
        <f t="shared" si="26"/>
        <v>0.52364590378807896</v>
      </c>
      <c r="CQ55" s="17">
        <f t="shared" si="26"/>
        <v>0.5236459037896718</v>
      </c>
      <c r="CR55" s="17">
        <f t="shared" si="26"/>
        <v>0.52364590379010867</v>
      </c>
      <c r="CS55" s="17">
        <f t="shared" si="26"/>
        <v>0.52364590379022846</v>
      </c>
      <c r="CT55" s="17">
        <f t="shared" si="26"/>
        <v>0.52364590379026121</v>
      </c>
      <c r="CU55" s="17">
        <f t="shared" si="26"/>
        <v>0.52364590379027021</v>
      </c>
      <c r="CV55" s="17">
        <f t="shared" si="26"/>
        <v>0.52364590379027265</v>
      </c>
      <c r="CW55" s="17">
        <f t="shared" si="26"/>
        <v>0.52364590379027331</v>
      </c>
      <c r="CX55" s="17">
        <f t="shared" si="26"/>
        <v>0.52364590379027354</v>
      </c>
      <c r="CY55" s="17">
        <f t="shared" si="26"/>
        <v>0.52364590379027354</v>
      </c>
      <c r="CZ55" s="17">
        <f t="shared" si="16"/>
        <v>100</v>
      </c>
      <c r="DA55" s="7"/>
      <c r="DB55" s="25"/>
      <c r="DC55" s="15">
        <v>4.6666666666666669E-2</v>
      </c>
      <c r="DD55" s="17">
        <f t="shared" si="17"/>
        <v>300</v>
      </c>
      <c r="DE55" s="17">
        <f t="shared" si="18"/>
        <v>175.52509710568881</v>
      </c>
      <c r="DF55" s="17">
        <f t="shared" si="18"/>
        <v>148.2154997989025</v>
      </c>
      <c r="DG55" s="17">
        <f t="shared" si="18"/>
        <v>139.02396643839123</v>
      </c>
      <c r="DH55" s="17">
        <f t="shared" si="18"/>
        <v>134.26814186047946</v>
      </c>
      <c r="DI55" s="17">
        <f t="shared" si="18"/>
        <v>130.67180482218117</v>
      </c>
      <c r="DJ55" s="17">
        <f t="shared" si="18"/>
        <v>127.38375604367623</v>
      </c>
      <c r="DK55" s="17">
        <f t="shared" si="18"/>
        <v>124.17802065708142</v>
      </c>
      <c r="DL55" s="17">
        <f t="shared" si="18"/>
        <v>120.99427953367243</v>
      </c>
      <c r="DM55" s="17">
        <f t="shared" si="18"/>
        <v>117.81641533183293</v>
      </c>
      <c r="DN55" s="17">
        <f t="shared" si="18"/>
        <v>114.64012251584771</v>
      </c>
      <c r="DO55" s="17">
        <f t="shared" si="18"/>
        <v>111.46425172045412</v>
      </c>
      <c r="DP55" s="17">
        <f t="shared" si="18"/>
        <v>108.28849646419685</v>
      </c>
      <c r="DQ55" s="17">
        <f t="shared" si="18"/>
        <v>105.11277518997035</v>
      </c>
      <c r="DR55" s="17">
        <f t="shared" si="18"/>
        <v>101.93706629137675</v>
      </c>
      <c r="DS55" s="17">
        <f t="shared" si="18"/>
        <v>98.761364101356122</v>
      </c>
      <c r="DT55" s="17">
        <f t="shared" si="18"/>
        <v>95.585667159413134</v>
      </c>
      <c r="DU55" s="17">
        <f t="shared" si="24"/>
        <v>92.409975086136384</v>
      </c>
      <c r="DV55" s="17">
        <f t="shared" si="24"/>
        <v>89.234287751371511</v>
      </c>
      <c r="DW55" s="17">
        <f t="shared" si="24"/>
        <v>86.058605053388263</v>
      </c>
      <c r="DX55" s="17">
        <f t="shared" si="24"/>
        <v>82.882926860962229</v>
      </c>
      <c r="DY55" s="17">
        <f t="shared" si="24"/>
        <v>79.707252999149787</v>
      </c>
      <c r="DZ55" s="17">
        <f t="shared" si="24"/>
        <v>76.531583247053632</v>
      </c>
      <c r="EA55" s="17">
        <f t="shared" si="24"/>
        <v>73.355917339144113</v>
      </c>
      <c r="EB55" s="17">
        <f t="shared" si="24"/>
        <v>70.180254967878042</v>
      </c>
      <c r="EC55" s="17">
        <f t="shared" si="20"/>
        <v>67.004595786991487</v>
      </c>
      <c r="ED55" s="17">
        <f t="shared" si="20"/>
        <v>63.828939415273219</v>
      </c>
      <c r="EE55" s="17">
        <f t="shared" si="20"/>
        <v>60.653285440736084</v>
      </c>
      <c r="EF55" s="17">
        <f t="shared" si="20"/>
        <v>57.477633425129426</v>
      </c>
      <c r="EG55" s="17">
        <f t="shared" si="20"/>
        <v>54.301982908740214</v>
      </c>
      <c r="EH55" s="17">
        <f t="shared" si="20"/>
        <v>51.126333415429777</v>
      </c>
    </row>
    <row r="56" spans="5:138" ht="15.6" x14ac:dyDescent="0.3">
      <c r="E56" s="25"/>
      <c r="F56" s="15">
        <v>4.3333333333333335E-2</v>
      </c>
      <c r="G56" s="7">
        <f t="shared" si="10"/>
        <v>300</v>
      </c>
      <c r="H56" s="7">
        <f t="shared" si="11"/>
        <v>293.33323995443413</v>
      </c>
      <c r="I56" s="7">
        <f t="shared" si="11"/>
        <v>286.66648093194704</v>
      </c>
      <c r="J56" s="7">
        <f t="shared" si="11"/>
        <v>279.9997239444084</v>
      </c>
      <c r="K56" s="7">
        <f t="shared" si="11"/>
        <v>273.33296998139258</v>
      </c>
      <c r="L56" s="7">
        <f t="shared" si="11"/>
        <v>266.6662199993367</v>
      </c>
      <c r="M56" s="7">
        <f t="shared" si="11"/>
        <v>259.99947491106161</v>
      </c>
      <c r="N56" s="7">
        <f t="shared" si="11"/>
        <v>253.33273557577087</v>
      </c>
      <c r="O56" s="7">
        <f t="shared" si="11"/>
        <v>246.66600278963699</v>
      </c>
      <c r="P56" s="7">
        <f t="shared" si="11"/>
        <v>239.99927727707882</v>
      </c>
      <c r="Q56" s="7">
        <f t="shared" si="11"/>
        <v>233.33255968282418</v>
      </c>
      <c r="R56" s="7">
        <f t="shared" si="11"/>
        <v>226.66585056484644</v>
      </c>
      <c r="S56" s="7">
        <f t="shared" si="11"/>
        <v>219.999150388251</v>
      </c>
      <c r="T56" s="7">
        <f t="shared" si="11"/>
        <v>213.33245952017967</v>
      </c>
      <c r="U56" s="7">
        <f t="shared" si="11"/>
        <v>206.66577822578813</v>
      </c>
      <c r="V56" s="7">
        <f t="shared" si="11"/>
        <v>199.99910666534078</v>
      </c>
      <c r="W56" s="7">
        <f t="shared" si="11"/>
        <v>193.3324448924549</v>
      </c>
      <c r="X56" s="7">
        <f t="shared" si="25"/>
        <v>186.66579285351318</v>
      </c>
      <c r="Y56" s="7">
        <f t="shared" si="25"/>
        <v>179.99915038825119</v>
      </c>
      <c r="Z56" s="7">
        <f t="shared" si="25"/>
        <v>173.33251723151335</v>
      </c>
      <c r="AA56" s="7">
        <f t="shared" si="25"/>
        <v>166.66589301615778</v>
      </c>
      <c r="AB56" s="7">
        <f t="shared" si="21"/>
        <v>159.99927727707916</v>
      </c>
      <c r="AC56" s="7">
        <f t="shared" si="21"/>
        <v>153.33266945630407</v>
      </c>
      <c r="AD56" s="7">
        <f t="shared" si="21"/>
        <v>146.66606890910464</v>
      </c>
      <c r="AE56" s="7">
        <f t="shared" si="21"/>
        <v>139.99947491106209</v>
      </c>
      <c r="AF56" s="7">
        <f t="shared" si="21"/>
        <v>133.33288666600384</v>
      </c>
      <c r="AG56" s="7">
        <f t="shared" si="21"/>
        <v>126.66630331472635</v>
      </c>
      <c r="AH56" s="7">
        <f t="shared" si="21"/>
        <v>119.99972394440871</v>
      </c>
      <c r="AI56" s="7">
        <f t="shared" si="21"/>
        <v>113.33314759861392</v>
      </c>
      <c r="AJ56" s="7">
        <f t="shared" si="21"/>
        <v>106.66657328776756</v>
      </c>
      <c r="AK56" s="7">
        <f t="shared" si="13"/>
        <v>100</v>
      </c>
      <c r="AL56" s="25"/>
      <c r="AM56" s="15">
        <v>4.3333333333333335E-2</v>
      </c>
      <c r="AN56" s="26">
        <f t="shared" si="14"/>
        <v>-538200000</v>
      </c>
      <c r="AO56" s="26">
        <f t="shared" si="14"/>
        <v>-526239828.24270886</v>
      </c>
      <c r="AP56" s="26">
        <f t="shared" si="14"/>
        <v>-514279658.36722654</v>
      </c>
      <c r="AQ56" s="26">
        <f t="shared" si="14"/>
        <v>-502319492.23474425</v>
      </c>
      <c r="AR56" s="26">
        <f t="shared" si="14"/>
        <v>-490359331.66544437</v>
      </c>
      <c r="AS56" s="26">
        <f t="shared" si="14"/>
        <v>-478399178.41855794</v>
      </c>
      <c r="AT56" s="26">
        <f t="shared" si="14"/>
        <v>-466439034.17308962</v>
      </c>
      <c r="AU56" s="26">
        <f t="shared" si="14"/>
        <v>-454478900.50942314</v>
      </c>
      <c r="AV56" s="26">
        <f t="shared" si="14"/>
        <v>-442518778.89200544</v>
      </c>
      <c r="AW56" s="26">
        <f t="shared" si="14"/>
        <v>-430558670.65330267</v>
      </c>
      <c r="AX56" s="26">
        <f t="shared" si="14"/>
        <v>-418598576.97920024</v>
      </c>
      <c r="AY56" s="26">
        <f t="shared" si="14"/>
        <v>-406638498.89601171</v>
      </c>
      <c r="AZ56" s="26">
        <f t="shared" si="14"/>
        <v>-394678437.25923246</v>
      </c>
      <c r="BA56" s="26">
        <f t="shared" si="14"/>
        <v>-382718392.7441681</v>
      </c>
      <c r="BB56" s="26">
        <f t="shared" si="14"/>
        <v>-370758365.83853501</v>
      </c>
      <c r="BC56" s="26">
        <f t="shared" si="14"/>
        <v>-358798356.8371169</v>
      </c>
      <c r="BD56" s="26">
        <f t="shared" si="22"/>
        <v>-346838365.83853513</v>
      </c>
      <c r="BE56" s="26">
        <f t="shared" si="22"/>
        <v>-334878392.74416834</v>
      </c>
      <c r="BF56" s="26">
        <f t="shared" si="22"/>
        <v>-322918437.25923276</v>
      </c>
      <c r="BG56" s="26">
        <f t="shared" si="22"/>
        <v>-310958498.89601207</v>
      </c>
      <c r="BH56" s="26">
        <f t="shared" si="22"/>
        <v>-298998576.97920072</v>
      </c>
      <c r="BI56" s="26">
        <f t="shared" si="22"/>
        <v>-287038670.65330321</v>
      </c>
      <c r="BJ56" s="26">
        <f t="shared" si="22"/>
        <v>-275078778.89200634</v>
      </c>
      <c r="BK56" s="26">
        <f t="shared" si="22"/>
        <v>-263118900.50942403</v>
      </c>
      <c r="BL56" s="26">
        <f t="shared" si="19"/>
        <v>-251159034.17309046</v>
      </c>
      <c r="BM56" s="26">
        <f t="shared" si="19"/>
        <v>-239199178.41855866</v>
      </c>
      <c r="BN56" s="26">
        <f t="shared" si="19"/>
        <v>-227239331.66544509</v>
      </c>
      <c r="BO56" s="26">
        <f t="shared" si="19"/>
        <v>-215279492.2347447</v>
      </c>
      <c r="BP56" s="26">
        <f t="shared" si="19"/>
        <v>-203319658.36722678</v>
      </c>
      <c r="BQ56" s="26">
        <f t="shared" si="19"/>
        <v>-191359828.24270895</v>
      </c>
      <c r="BR56" s="26">
        <f t="shared" si="19"/>
        <v>-179400000</v>
      </c>
      <c r="BS56" s="7"/>
      <c r="BT56" s="25"/>
      <c r="BU56" s="15">
        <v>4.3333333333333335E-2</v>
      </c>
      <c r="BV56" s="17">
        <v>0</v>
      </c>
      <c r="BW56" s="17">
        <f t="shared" si="26"/>
        <v>0.41095890410958902</v>
      </c>
      <c r="BX56" s="17">
        <f t="shared" si="26"/>
        <v>0.49446827726349057</v>
      </c>
      <c r="BY56" s="17">
        <f t="shared" si="26"/>
        <v>0.51576565211146774</v>
      </c>
      <c r="BZ56" s="17">
        <f t="shared" si="26"/>
        <v>0.52149397895713612</v>
      </c>
      <c r="CA56" s="17">
        <f t="shared" si="26"/>
        <v>0.52305649933975962</v>
      </c>
      <c r="CB56" s="17">
        <f t="shared" si="26"/>
        <v>0.52348433598989241</v>
      </c>
      <c r="CC56" s="17">
        <f t="shared" si="26"/>
        <v>0.52360160483419294</v>
      </c>
      <c r="CD56" s="17">
        <f t="shared" si="26"/>
        <v>0.52363375707534621</v>
      </c>
      <c r="CE56" s="17">
        <f t="shared" si="26"/>
        <v>0.52364257312109652</v>
      </c>
      <c r="CF56" s="17">
        <f t="shared" si="26"/>
        <v>0.5236449905056163</v>
      </c>
      <c r="CG56" s="17">
        <f t="shared" si="26"/>
        <v>0.52364565336314417</v>
      </c>
      <c r="CH56" s="17">
        <f t="shared" si="26"/>
        <v>0.52364583512190344</v>
      </c>
      <c r="CI56" s="17">
        <f t="shared" si="26"/>
        <v>0.52364588496106157</v>
      </c>
      <c r="CJ56" s="17">
        <f t="shared" si="26"/>
        <v>0.52364589862720901</v>
      </c>
      <c r="CK56" s="17">
        <f t="shared" si="26"/>
        <v>0.52364590237453534</v>
      </c>
      <c r="CL56" s="17">
        <f t="shared" si="26"/>
        <v>0.52364590340207107</v>
      </c>
      <c r="CM56" s="17">
        <f t="shared" si="26"/>
        <v>0.52364590368382657</v>
      </c>
      <c r="CN56" s="17">
        <f t="shared" si="26"/>
        <v>0.52364590376108522</v>
      </c>
      <c r="CO56" s="17">
        <f t="shared" si="26"/>
        <v>0.52364590378227005</v>
      </c>
      <c r="CP56" s="17">
        <f t="shared" si="26"/>
        <v>0.52364590378807896</v>
      </c>
      <c r="CQ56" s="17">
        <f t="shared" si="26"/>
        <v>0.5236459037896718</v>
      </c>
      <c r="CR56" s="17">
        <f t="shared" si="26"/>
        <v>0.52364590379010867</v>
      </c>
      <c r="CS56" s="17">
        <f t="shared" si="26"/>
        <v>0.52364590379022846</v>
      </c>
      <c r="CT56" s="17">
        <f t="shared" si="26"/>
        <v>0.52364590379026121</v>
      </c>
      <c r="CU56" s="17">
        <f t="shared" si="26"/>
        <v>0.52364590379027021</v>
      </c>
      <c r="CV56" s="17">
        <f t="shared" si="26"/>
        <v>0.52364590379027265</v>
      </c>
      <c r="CW56" s="17">
        <f t="shared" si="26"/>
        <v>0.52364590379027331</v>
      </c>
      <c r="CX56" s="17">
        <f t="shared" si="26"/>
        <v>0.52364590379027354</v>
      </c>
      <c r="CY56" s="17">
        <f t="shared" si="26"/>
        <v>0.52364590379027354</v>
      </c>
      <c r="CZ56" s="17">
        <f t="shared" si="16"/>
        <v>100</v>
      </c>
      <c r="DA56" s="7"/>
      <c r="DB56" s="25"/>
      <c r="DC56" s="15">
        <v>4.3333333333333335E-2</v>
      </c>
      <c r="DD56" s="17">
        <f t="shared" si="17"/>
        <v>300</v>
      </c>
      <c r="DE56" s="17">
        <f t="shared" si="18"/>
        <v>175.52509710568881</v>
      </c>
      <c r="DF56" s="17">
        <f t="shared" si="18"/>
        <v>148.2154997989025</v>
      </c>
      <c r="DG56" s="17">
        <f t="shared" si="18"/>
        <v>139.02396643839123</v>
      </c>
      <c r="DH56" s="17">
        <f t="shared" si="18"/>
        <v>134.26814186047946</v>
      </c>
      <c r="DI56" s="17">
        <f t="shared" si="18"/>
        <v>130.67180482218117</v>
      </c>
      <c r="DJ56" s="17">
        <f t="shared" si="18"/>
        <v>127.38375604367623</v>
      </c>
      <c r="DK56" s="17">
        <f t="shared" si="18"/>
        <v>124.17802065708142</v>
      </c>
      <c r="DL56" s="17">
        <f t="shared" si="18"/>
        <v>120.99427953367244</v>
      </c>
      <c r="DM56" s="17">
        <f t="shared" si="18"/>
        <v>117.81641533183294</v>
      </c>
      <c r="DN56" s="17">
        <f t="shared" si="18"/>
        <v>114.64012251584772</v>
      </c>
      <c r="DO56" s="17">
        <f t="shared" si="18"/>
        <v>111.46425172045412</v>
      </c>
      <c r="DP56" s="17">
        <f t="shared" si="18"/>
        <v>108.28849646419685</v>
      </c>
      <c r="DQ56" s="17">
        <f t="shared" si="18"/>
        <v>105.11277518997035</v>
      </c>
      <c r="DR56" s="17">
        <f t="shared" si="18"/>
        <v>101.93706629137675</v>
      </c>
      <c r="DS56" s="17">
        <f t="shared" si="18"/>
        <v>98.761364101356122</v>
      </c>
      <c r="DT56" s="17">
        <f t="shared" si="18"/>
        <v>95.585667159413134</v>
      </c>
      <c r="DU56" s="17">
        <f t="shared" si="24"/>
        <v>92.409975086136384</v>
      </c>
      <c r="DV56" s="17">
        <f t="shared" si="24"/>
        <v>89.234287751371511</v>
      </c>
      <c r="DW56" s="17">
        <f t="shared" si="24"/>
        <v>86.058605053388263</v>
      </c>
      <c r="DX56" s="17">
        <f t="shared" si="24"/>
        <v>82.882926860962229</v>
      </c>
      <c r="DY56" s="17">
        <f t="shared" si="24"/>
        <v>79.707252999149787</v>
      </c>
      <c r="DZ56" s="17">
        <f t="shared" si="24"/>
        <v>76.531583247053632</v>
      </c>
      <c r="EA56" s="17">
        <f t="shared" si="24"/>
        <v>73.355917339144113</v>
      </c>
      <c r="EB56" s="17">
        <f t="shared" si="24"/>
        <v>70.180254967878042</v>
      </c>
      <c r="EC56" s="17">
        <f t="shared" si="20"/>
        <v>67.004595786991487</v>
      </c>
      <c r="ED56" s="17">
        <f t="shared" si="20"/>
        <v>63.828939415273219</v>
      </c>
      <c r="EE56" s="17">
        <f t="shared" si="20"/>
        <v>60.653285440736077</v>
      </c>
      <c r="EF56" s="17">
        <f t="shared" si="20"/>
        <v>57.477633425129426</v>
      </c>
      <c r="EG56" s="17">
        <f t="shared" si="20"/>
        <v>54.301982908740214</v>
      </c>
      <c r="EH56" s="17">
        <f t="shared" si="20"/>
        <v>51.126333415429777</v>
      </c>
    </row>
    <row r="57" spans="5:138" ht="15.6" x14ac:dyDescent="0.3">
      <c r="E57" s="25"/>
      <c r="F57" s="15">
        <v>0.04</v>
      </c>
      <c r="G57" s="7">
        <f t="shared" si="10"/>
        <v>300</v>
      </c>
      <c r="H57" s="7">
        <f t="shared" si="11"/>
        <v>293.33323995443413</v>
      </c>
      <c r="I57" s="7">
        <f t="shared" si="11"/>
        <v>286.66648093194704</v>
      </c>
      <c r="J57" s="7">
        <f t="shared" si="11"/>
        <v>279.9997239444084</v>
      </c>
      <c r="K57" s="7">
        <f t="shared" si="11"/>
        <v>273.33296998139258</v>
      </c>
      <c r="L57" s="7">
        <f t="shared" si="11"/>
        <v>266.6662199993367</v>
      </c>
      <c r="M57" s="7">
        <f t="shared" si="11"/>
        <v>259.99947491106161</v>
      </c>
      <c r="N57" s="7">
        <f t="shared" si="11"/>
        <v>253.33273557577087</v>
      </c>
      <c r="O57" s="7">
        <f t="shared" si="11"/>
        <v>246.66600278963699</v>
      </c>
      <c r="P57" s="7">
        <f t="shared" si="11"/>
        <v>239.99927727707882</v>
      </c>
      <c r="Q57" s="7">
        <f t="shared" si="11"/>
        <v>233.33255968282418</v>
      </c>
      <c r="R57" s="7">
        <f t="shared" si="11"/>
        <v>226.66585056484644</v>
      </c>
      <c r="S57" s="7">
        <f t="shared" si="11"/>
        <v>219.999150388251</v>
      </c>
      <c r="T57" s="7">
        <f t="shared" si="11"/>
        <v>213.33245952017967</v>
      </c>
      <c r="U57" s="7">
        <f t="shared" si="11"/>
        <v>206.66577822578813</v>
      </c>
      <c r="V57" s="7">
        <f t="shared" si="11"/>
        <v>199.99910666534078</v>
      </c>
      <c r="W57" s="7">
        <f t="shared" si="11"/>
        <v>193.3324448924549</v>
      </c>
      <c r="X57" s="7">
        <f t="shared" si="25"/>
        <v>186.66579285351318</v>
      </c>
      <c r="Y57" s="7">
        <f t="shared" si="25"/>
        <v>179.99915038825119</v>
      </c>
      <c r="Z57" s="7">
        <f t="shared" si="25"/>
        <v>173.33251723151335</v>
      </c>
      <c r="AA57" s="7">
        <f t="shared" si="25"/>
        <v>166.66589301615778</v>
      </c>
      <c r="AB57" s="7">
        <f t="shared" si="21"/>
        <v>159.99927727707916</v>
      </c>
      <c r="AC57" s="7">
        <f t="shared" si="21"/>
        <v>153.33266945630407</v>
      </c>
      <c r="AD57" s="7">
        <f t="shared" si="21"/>
        <v>146.66606890910464</v>
      </c>
      <c r="AE57" s="7">
        <f t="shared" si="21"/>
        <v>139.99947491106209</v>
      </c>
      <c r="AF57" s="7">
        <f t="shared" si="21"/>
        <v>133.33288666600384</v>
      </c>
      <c r="AG57" s="7">
        <f t="shared" si="21"/>
        <v>126.66630331472635</v>
      </c>
      <c r="AH57" s="7">
        <f t="shared" si="21"/>
        <v>119.99972394440871</v>
      </c>
      <c r="AI57" s="7">
        <f t="shared" si="21"/>
        <v>113.33314759861392</v>
      </c>
      <c r="AJ57" s="7">
        <f t="shared" si="21"/>
        <v>106.66657328776756</v>
      </c>
      <c r="AK57" s="7">
        <f t="shared" si="13"/>
        <v>100</v>
      </c>
      <c r="AL57" s="25"/>
      <c r="AM57" s="15">
        <v>0.04</v>
      </c>
      <c r="AN57" s="26">
        <f t="shared" si="14"/>
        <v>-538200000</v>
      </c>
      <c r="AO57" s="26">
        <f t="shared" si="14"/>
        <v>-526239828.24270874</v>
      </c>
      <c r="AP57" s="26">
        <f t="shared" si="14"/>
        <v>-514279658.36722642</v>
      </c>
      <c r="AQ57" s="26">
        <f t="shared" si="14"/>
        <v>-502319492.23474419</v>
      </c>
      <c r="AR57" s="26">
        <f t="shared" si="14"/>
        <v>-490359331.66544431</v>
      </c>
      <c r="AS57" s="26">
        <f t="shared" si="14"/>
        <v>-478399178.41855794</v>
      </c>
      <c r="AT57" s="26">
        <f t="shared" si="14"/>
        <v>-466439034.17308962</v>
      </c>
      <c r="AU57" s="26">
        <f t="shared" si="14"/>
        <v>-454478900.50942314</v>
      </c>
      <c r="AV57" s="26">
        <f t="shared" si="14"/>
        <v>-442518778.89200538</v>
      </c>
      <c r="AW57" s="26">
        <f t="shared" si="14"/>
        <v>-430558670.65330267</v>
      </c>
      <c r="AX57" s="26">
        <f t="shared" si="14"/>
        <v>-418598576.97920024</v>
      </c>
      <c r="AY57" s="26">
        <f t="shared" si="14"/>
        <v>-406638498.89601171</v>
      </c>
      <c r="AZ57" s="26">
        <f t="shared" si="14"/>
        <v>-394678437.25923246</v>
      </c>
      <c r="BA57" s="26">
        <f t="shared" si="14"/>
        <v>-382718392.7441681</v>
      </c>
      <c r="BB57" s="26">
        <f t="shared" si="14"/>
        <v>-370758365.83853501</v>
      </c>
      <c r="BC57" s="26">
        <f t="shared" si="14"/>
        <v>-358798356.83711684</v>
      </c>
      <c r="BD57" s="26">
        <f t="shared" si="22"/>
        <v>-346838365.83853513</v>
      </c>
      <c r="BE57" s="26">
        <f t="shared" si="22"/>
        <v>-334878392.74416834</v>
      </c>
      <c r="BF57" s="26">
        <f t="shared" si="22"/>
        <v>-322918437.25923276</v>
      </c>
      <c r="BG57" s="26">
        <f t="shared" si="22"/>
        <v>-310958498.89601207</v>
      </c>
      <c r="BH57" s="26">
        <f t="shared" si="22"/>
        <v>-298998576.97920072</v>
      </c>
      <c r="BI57" s="26">
        <f t="shared" si="22"/>
        <v>-287038670.65330321</v>
      </c>
      <c r="BJ57" s="26">
        <f t="shared" si="22"/>
        <v>-275078778.89200634</v>
      </c>
      <c r="BK57" s="26">
        <f t="shared" si="22"/>
        <v>-263118900.50942403</v>
      </c>
      <c r="BL57" s="26">
        <f t="shared" si="19"/>
        <v>-251159034.17309046</v>
      </c>
      <c r="BM57" s="26">
        <f t="shared" si="19"/>
        <v>-239199178.41855866</v>
      </c>
      <c r="BN57" s="26">
        <f t="shared" si="19"/>
        <v>-227239331.66544509</v>
      </c>
      <c r="BO57" s="26">
        <f t="shared" si="19"/>
        <v>-215279492.2347447</v>
      </c>
      <c r="BP57" s="26">
        <f t="shared" si="19"/>
        <v>-203319658.36722678</v>
      </c>
      <c r="BQ57" s="26">
        <f t="shared" si="19"/>
        <v>-191359828.24270895</v>
      </c>
      <c r="BR57" s="26">
        <f t="shared" si="19"/>
        <v>-179400000</v>
      </c>
      <c r="BS57" s="7"/>
      <c r="BT57" s="25"/>
      <c r="BU57" s="15">
        <v>0.04</v>
      </c>
      <c r="BV57" s="17">
        <v>0</v>
      </c>
      <c r="BW57" s="17">
        <f t="shared" si="26"/>
        <v>0.41095890410958902</v>
      </c>
      <c r="BX57" s="17">
        <f t="shared" si="26"/>
        <v>0.49446827726349057</v>
      </c>
      <c r="BY57" s="17">
        <f t="shared" si="26"/>
        <v>0.51576565211146774</v>
      </c>
      <c r="BZ57" s="17">
        <f t="shared" si="26"/>
        <v>0.52149397895713612</v>
      </c>
      <c r="CA57" s="17">
        <f t="shared" si="26"/>
        <v>0.52305649933975962</v>
      </c>
      <c r="CB57" s="17">
        <f t="shared" si="26"/>
        <v>0.52348433598989241</v>
      </c>
      <c r="CC57" s="17">
        <f t="shared" si="26"/>
        <v>0.52360160483419294</v>
      </c>
      <c r="CD57" s="17">
        <f t="shared" si="26"/>
        <v>0.52363375707534621</v>
      </c>
      <c r="CE57" s="17">
        <f t="shared" si="26"/>
        <v>0.52364257312109652</v>
      </c>
      <c r="CF57" s="17">
        <f t="shared" si="26"/>
        <v>0.5236449905056163</v>
      </c>
      <c r="CG57" s="17">
        <f t="shared" si="26"/>
        <v>0.52364565336314417</v>
      </c>
      <c r="CH57" s="17">
        <f t="shared" si="26"/>
        <v>0.52364583512190344</v>
      </c>
      <c r="CI57" s="17">
        <f t="shared" si="26"/>
        <v>0.52364588496106157</v>
      </c>
      <c r="CJ57" s="17">
        <f t="shared" si="26"/>
        <v>0.52364589862720901</v>
      </c>
      <c r="CK57" s="17">
        <f t="shared" si="26"/>
        <v>0.52364590237453534</v>
      </c>
      <c r="CL57" s="17">
        <f t="shared" si="26"/>
        <v>0.52364590340207107</v>
      </c>
      <c r="CM57" s="17">
        <f t="shared" si="26"/>
        <v>0.52364590368382657</v>
      </c>
      <c r="CN57" s="17">
        <f t="shared" si="26"/>
        <v>0.52364590376108522</v>
      </c>
      <c r="CO57" s="17">
        <f t="shared" si="26"/>
        <v>0.52364590378227005</v>
      </c>
      <c r="CP57" s="17">
        <f t="shared" si="26"/>
        <v>0.52364590378807896</v>
      </c>
      <c r="CQ57" s="17">
        <f t="shared" si="26"/>
        <v>0.5236459037896718</v>
      </c>
      <c r="CR57" s="17">
        <f t="shared" si="26"/>
        <v>0.52364590379010867</v>
      </c>
      <c r="CS57" s="17">
        <f t="shared" si="26"/>
        <v>0.52364590379022846</v>
      </c>
      <c r="CT57" s="17">
        <f t="shared" ref="CT57:CY57" si="27">$B$20/($B$21-$B$22*CS57)</f>
        <v>0.52364590379026121</v>
      </c>
      <c r="CU57" s="17">
        <f t="shared" si="27"/>
        <v>0.52364590379027021</v>
      </c>
      <c r="CV57" s="17">
        <f t="shared" si="27"/>
        <v>0.52364590379027265</v>
      </c>
      <c r="CW57" s="17">
        <f t="shared" si="27"/>
        <v>0.52364590379027331</v>
      </c>
      <c r="CX57" s="17">
        <f t="shared" si="27"/>
        <v>0.52364590379027354</v>
      </c>
      <c r="CY57" s="17">
        <f t="shared" si="27"/>
        <v>0.52364590379027354</v>
      </c>
      <c r="CZ57" s="17">
        <f t="shared" si="16"/>
        <v>100</v>
      </c>
      <c r="DA57" s="7"/>
      <c r="DB57" s="25"/>
      <c r="DC57" s="15">
        <v>0.04</v>
      </c>
      <c r="DD57" s="17">
        <f t="shared" si="17"/>
        <v>300</v>
      </c>
      <c r="DE57" s="17">
        <f t="shared" si="18"/>
        <v>175.52509710568879</v>
      </c>
      <c r="DF57" s="17">
        <f t="shared" si="18"/>
        <v>148.21549979890247</v>
      </c>
      <c r="DG57" s="17">
        <f t="shared" si="18"/>
        <v>139.0239664383912</v>
      </c>
      <c r="DH57" s="17">
        <f t="shared" si="18"/>
        <v>134.26814186047943</v>
      </c>
      <c r="DI57" s="17">
        <f t="shared" si="18"/>
        <v>130.67180482218117</v>
      </c>
      <c r="DJ57" s="17">
        <f t="shared" si="18"/>
        <v>127.38375604367623</v>
      </c>
      <c r="DK57" s="17">
        <f t="shared" si="18"/>
        <v>124.17802065708142</v>
      </c>
      <c r="DL57" s="17">
        <f t="shared" si="18"/>
        <v>120.99427953367243</v>
      </c>
      <c r="DM57" s="17">
        <f t="shared" si="18"/>
        <v>117.81641533183293</v>
      </c>
      <c r="DN57" s="17">
        <f t="shared" si="18"/>
        <v>114.64012251584771</v>
      </c>
      <c r="DO57" s="17">
        <f t="shared" si="18"/>
        <v>111.46425172045412</v>
      </c>
      <c r="DP57" s="17">
        <f t="shared" si="18"/>
        <v>108.28849646419685</v>
      </c>
      <c r="DQ57" s="17">
        <f t="shared" si="18"/>
        <v>105.11277518997035</v>
      </c>
      <c r="DR57" s="17">
        <f t="shared" si="18"/>
        <v>101.93706629137675</v>
      </c>
      <c r="DS57" s="17">
        <f t="shared" si="18"/>
        <v>98.761364101356122</v>
      </c>
      <c r="DT57" s="17">
        <f t="shared" si="18"/>
        <v>95.585667159413134</v>
      </c>
      <c r="DU57" s="17">
        <f t="shared" si="24"/>
        <v>92.409975086136384</v>
      </c>
      <c r="DV57" s="17">
        <f t="shared" si="24"/>
        <v>89.234287751371511</v>
      </c>
      <c r="DW57" s="17">
        <f t="shared" si="24"/>
        <v>86.058605053388263</v>
      </c>
      <c r="DX57" s="17">
        <f t="shared" si="24"/>
        <v>82.882926860962229</v>
      </c>
      <c r="DY57" s="17">
        <f t="shared" si="24"/>
        <v>79.707252999149787</v>
      </c>
      <c r="DZ57" s="17">
        <f t="shared" si="24"/>
        <v>76.531583247053632</v>
      </c>
      <c r="EA57" s="17">
        <f t="shared" si="24"/>
        <v>73.355917339144113</v>
      </c>
      <c r="EB57" s="17">
        <f t="shared" si="24"/>
        <v>70.180254967878042</v>
      </c>
      <c r="EC57" s="17">
        <f t="shared" si="20"/>
        <v>67.004595786991487</v>
      </c>
      <c r="ED57" s="17">
        <f t="shared" si="20"/>
        <v>63.828939415273219</v>
      </c>
      <c r="EE57" s="17">
        <f t="shared" si="20"/>
        <v>60.653285440736077</v>
      </c>
      <c r="EF57" s="17">
        <f t="shared" si="20"/>
        <v>57.477633425129426</v>
      </c>
      <c r="EG57" s="17">
        <f t="shared" si="20"/>
        <v>54.301982908740214</v>
      </c>
      <c r="EH57" s="17">
        <f t="shared" si="20"/>
        <v>51.126333415429777</v>
      </c>
    </row>
    <row r="58" spans="5:138" ht="15.6" x14ac:dyDescent="0.3">
      <c r="E58" s="25"/>
      <c r="F58" s="15">
        <v>3.6666666666666667E-2</v>
      </c>
      <c r="G58" s="7">
        <f t="shared" si="10"/>
        <v>300</v>
      </c>
      <c r="H58" s="7">
        <f t="shared" si="11"/>
        <v>293.33323995443413</v>
      </c>
      <c r="I58" s="7">
        <f t="shared" si="11"/>
        <v>286.66648093194704</v>
      </c>
      <c r="J58" s="7">
        <f t="shared" si="11"/>
        <v>279.9997239444084</v>
      </c>
      <c r="K58" s="7">
        <f t="shared" si="11"/>
        <v>273.33296998139258</v>
      </c>
      <c r="L58" s="7">
        <f t="shared" si="11"/>
        <v>266.6662199993367</v>
      </c>
      <c r="M58" s="7">
        <f t="shared" si="11"/>
        <v>259.99947491106161</v>
      </c>
      <c r="N58" s="7">
        <f t="shared" si="11"/>
        <v>253.33273557577087</v>
      </c>
      <c r="O58" s="7">
        <f t="shared" si="11"/>
        <v>246.66600278963699</v>
      </c>
      <c r="P58" s="7">
        <f t="shared" si="11"/>
        <v>239.99927727707882</v>
      </c>
      <c r="Q58" s="7">
        <f t="shared" si="11"/>
        <v>233.33255968282418</v>
      </c>
      <c r="R58" s="7">
        <f t="shared" si="11"/>
        <v>226.66585056484644</v>
      </c>
      <c r="S58" s="7">
        <f t="shared" si="11"/>
        <v>219.999150388251</v>
      </c>
      <c r="T58" s="7">
        <f t="shared" si="11"/>
        <v>213.33245952017967</v>
      </c>
      <c r="U58" s="7">
        <f t="shared" si="11"/>
        <v>206.66577822578813</v>
      </c>
      <c r="V58" s="7">
        <f t="shared" si="11"/>
        <v>199.99910666534078</v>
      </c>
      <c r="W58" s="7">
        <f t="shared" si="11"/>
        <v>193.3324448924549</v>
      </c>
      <c r="X58" s="7">
        <f t="shared" si="25"/>
        <v>186.66579285351318</v>
      </c>
      <c r="Y58" s="7">
        <f t="shared" si="25"/>
        <v>179.99915038825119</v>
      </c>
      <c r="Z58" s="7">
        <f t="shared" si="25"/>
        <v>173.33251723151335</v>
      </c>
      <c r="AA58" s="7">
        <f t="shared" si="25"/>
        <v>166.66589301615778</v>
      </c>
      <c r="AB58" s="7">
        <f t="shared" si="21"/>
        <v>159.99927727707916</v>
      </c>
      <c r="AC58" s="7">
        <f t="shared" si="21"/>
        <v>153.33266945630407</v>
      </c>
      <c r="AD58" s="7">
        <f t="shared" si="21"/>
        <v>146.66606890910464</v>
      </c>
      <c r="AE58" s="7">
        <f t="shared" si="21"/>
        <v>139.99947491106209</v>
      </c>
      <c r="AF58" s="7">
        <f t="shared" si="21"/>
        <v>133.33288666600384</v>
      </c>
      <c r="AG58" s="7">
        <f t="shared" si="21"/>
        <v>126.66630331472635</v>
      </c>
      <c r="AH58" s="7">
        <f t="shared" si="21"/>
        <v>119.99972394440871</v>
      </c>
      <c r="AI58" s="7">
        <f t="shared" si="21"/>
        <v>113.33314759861392</v>
      </c>
      <c r="AJ58" s="7">
        <f t="shared" si="21"/>
        <v>106.66657328776756</v>
      </c>
      <c r="AK58" s="7">
        <f t="shared" si="13"/>
        <v>100</v>
      </c>
      <c r="AL58" s="25"/>
      <c r="AM58" s="15">
        <v>3.6666666666666667E-2</v>
      </c>
      <c r="AN58" s="26">
        <f t="shared" si="14"/>
        <v>-538200000</v>
      </c>
      <c r="AO58" s="26">
        <f t="shared" si="14"/>
        <v>-526239828.24270868</v>
      </c>
      <c r="AP58" s="26">
        <f t="shared" si="14"/>
        <v>-514279658.36722636</v>
      </c>
      <c r="AQ58" s="26">
        <f t="shared" si="14"/>
        <v>-502319492.23474407</v>
      </c>
      <c r="AR58" s="26">
        <f t="shared" si="14"/>
        <v>-490359331.66544431</v>
      </c>
      <c r="AS58" s="26">
        <f t="shared" si="14"/>
        <v>-478399178.41855794</v>
      </c>
      <c r="AT58" s="26">
        <f t="shared" si="14"/>
        <v>-466439034.17308962</v>
      </c>
      <c r="AU58" s="26">
        <f t="shared" si="14"/>
        <v>-454478900.50942314</v>
      </c>
      <c r="AV58" s="26">
        <f t="shared" si="14"/>
        <v>-442518778.89200538</v>
      </c>
      <c r="AW58" s="26">
        <f t="shared" si="14"/>
        <v>-430558670.65330267</v>
      </c>
      <c r="AX58" s="26">
        <f t="shared" si="14"/>
        <v>-418598576.97920024</v>
      </c>
      <c r="AY58" s="26">
        <f t="shared" si="14"/>
        <v>-406638498.89601171</v>
      </c>
      <c r="AZ58" s="26">
        <f t="shared" si="14"/>
        <v>-394678437.25923246</v>
      </c>
      <c r="BA58" s="26">
        <f t="shared" si="14"/>
        <v>-382718392.7441681</v>
      </c>
      <c r="BB58" s="26">
        <f t="shared" si="14"/>
        <v>-370758365.83853501</v>
      </c>
      <c r="BC58" s="26">
        <f t="shared" si="14"/>
        <v>-358798356.83711684</v>
      </c>
      <c r="BD58" s="26">
        <f t="shared" si="22"/>
        <v>-346838365.83853513</v>
      </c>
      <c r="BE58" s="26">
        <f t="shared" si="22"/>
        <v>-334878392.7441684</v>
      </c>
      <c r="BF58" s="26">
        <f t="shared" si="22"/>
        <v>-322918437.25923276</v>
      </c>
      <c r="BG58" s="26">
        <f t="shared" si="22"/>
        <v>-310958498.89601213</v>
      </c>
      <c r="BH58" s="26">
        <f t="shared" si="22"/>
        <v>-298998576.97920072</v>
      </c>
      <c r="BI58" s="26">
        <f t="shared" si="22"/>
        <v>-287038670.65330321</v>
      </c>
      <c r="BJ58" s="26">
        <f t="shared" si="22"/>
        <v>-275078778.89200634</v>
      </c>
      <c r="BK58" s="26">
        <f t="shared" si="22"/>
        <v>-263118900.50942403</v>
      </c>
      <c r="BL58" s="26">
        <f t="shared" si="19"/>
        <v>-251159034.17309046</v>
      </c>
      <c r="BM58" s="26">
        <f t="shared" si="19"/>
        <v>-239199178.41855866</v>
      </c>
      <c r="BN58" s="26">
        <f t="shared" si="19"/>
        <v>-227239331.66544512</v>
      </c>
      <c r="BO58" s="26">
        <f t="shared" si="19"/>
        <v>-215279492.2347447</v>
      </c>
      <c r="BP58" s="26">
        <f t="shared" si="19"/>
        <v>-203319658.36722678</v>
      </c>
      <c r="BQ58" s="26">
        <f t="shared" si="19"/>
        <v>-191359828.24270895</v>
      </c>
      <c r="BR58" s="26">
        <f t="shared" si="19"/>
        <v>-179400000</v>
      </c>
      <c r="BS58" s="7"/>
      <c r="BT58" s="25"/>
      <c r="BU58" s="15">
        <v>3.6666666666666667E-2</v>
      </c>
      <c r="BV58" s="17">
        <v>0</v>
      </c>
      <c r="BW58" s="17">
        <f t="shared" ref="BW58:CY66" si="28">$B$20/($B$21-$B$22*BV58)</f>
        <v>0.41095890410958902</v>
      </c>
      <c r="BX58" s="17">
        <f t="shared" si="28"/>
        <v>0.49446827726349057</v>
      </c>
      <c r="BY58" s="17">
        <f t="shared" si="28"/>
        <v>0.51576565211146774</v>
      </c>
      <c r="BZ58" s="17">
        <f t="shared" si="28"/>
        <v>0.52149397895713612</v>
      </c>
      <c r="CA58" s="17">
        <f t="shared" si="28"/>
        <v>0.52305649933975962</v>
      </c>
      <c r="CB58" s="17">
        <f t="shared" si="28"/>
        <v>0.52348433598989241</v>
      </c>
      <c r="CC58" s="17">
        <f t="shared" si="28"/>
        <v>0.52360160483419294</v>
      </c>
      <c r="CD58" s="17">
        <f t="shared" si="28"/>
        <v>0.52363375707534621</v>
      </c>
      <c r="CE58" s="17">
        <f t="shared" si="28"/>
        <v>0.52364257312109652</v>
      </c>
      <c r="CF58" s="17">
        <f t="shared" si="28"/>
        <v>0.5236449905056163</v>
      </c>
      <c r="CG58" s="17">
        <f t="shared" si="28"/>
        <v>0.52364565336314417</v>
      </c>
      <c r="CH58" s="17">
        <f t="shared" si="28"/>
        <v>0.52364583512190344</v>
      </c>
      <c r="CI58" s="17">
        <f t="shared" si="28"/>
        <v>0.52364588496106157</v>
      </c>
      <c r="CJ58" s="17">
        <f t="shared" si="28"/>
        <v>0.52364589862720901</v>
      </c>
      <c r="CK58" s="17">
        <f t="shared" si="28"/>
        <v>0.52364590237453534</v>
      </c>
      <c r="CL58" s="17">
        <f t="shared" si="28"/>
        <v>0.52364590340207107</v>
      </c>
      <c r="CM58" s="17">
        <f t="shared" si="28"/>
        <v>0.52364590368382657</v>
      </c>
      <c r="CN58" s="17">
        <f t="shared" si="28"/>
        <v>0.52364590376108522</v>
      </c>
      <c r="CO58" s="17">
        <f t="shared" si="28"/>
        <v>0.52364590378227005</v>
      </c>
      <c r="CP58" s="17">
        <f t="shared" si="28"/>
        <v>0.52364590378807896</v>
      </c>
      <c r="CQ58" s="17">
        <f t="shared" si="28"/>
        <v>0.5236459037896718</v>
      </c>
      <c r="CR58" s="17">
        <f t="shared" si="28"/>
        <v>0.52364590379010867</v>
      </c>
      <c r="CS58" s="17">
        <f t="shared" si="28"/>
        <v>0.52364590379022846</v>
      </c>
      <c r="CT58" s="17">
        <f t="shared" si="28"/>
        <v>0.52364590379026121</v>
      </c>
      <c r="CU58" s="17">
        <f t="shared" si="28"/>
        <v>0.52364590379027021</v>
      </c>
      <c r="CV58" s="17">
        <f t="shared" si="28"/>
        <v>0.52364590379027265</v>
      </c>
      <c r="CW58" s="17">
        <f t="shared" si="28"/>
        <v>0.52364590379027331</v>
      </c>
      <c r="CX58" s="17">
        <f t="shared" si="28"/>
        <v>0.52364590379027354</v>
      </c>
      <c r="CY58" s="17">
        <f t="shared" si="28"/>
        <v>0.52364590379027354</v>
      </c>
      <c r="CZ58" s="17">
        <f t="shared" si="16"/>
        <v>100</v>
      </c>
      <c r="DA58" s="7"/>
      <c r="DB58" s="25"/>
      <c r="DC58" s="15">
        <v>3.6666666666666667E-2</v>
      </c>
      <c r="DD58" s="17">
        <f t="shared" si="17"/>
        <v>300</v>
      </c>
      <c r="DE58" s="17">
        <f t="shared" si="18"/>
        <v>175.52509710568879</v>
      </c>
      <c r="DF58" s="17">
        <f t="shared" si="18"/>
        <v>148.21549979890247</v>
      </c>
      <c r="DG58" s="17">
        <f t="shared" si="18"/>
        <v>139.0239664383912</v>
      </c>
      <c r="DH58" s="17">
        <f t="shared" si="18"/>
        <v>134.26814186047943</v>
      </c>
      <c r="DI58" s="17">
        <f t="shared" si="18"/>
        <v>130.67180482218117</v>
      </c>
      <c r="DJ58" s="17">
        <f t="shared" si="18"/>
        <v>127.38375604367623</v>
      </c>
      <c r="DK58" s="17">
        <f t="shared" si="18"/>
        <v>124.17802065708142</v>
      </c>
      <c r="DL58" s="17">
        <f t="shared" si="18"/>
        <v>120.99427953367243</v>
      </c>
      <c r="DM58" s="17">
        <f t="shared" si="18"/>
        <v>117.81641533183293</v>
      </c>
      <c r="DN58" s="17">
        <f t="shared" si="18"/>
        <v>114.64012251584771</v>
      </c>
      <c r="DO58" s="17">
        <f t="shared" si="18"/>
        <v>111.46425172045412</v>
      </c>
      <c r="DP58" s="17">
        <f t="shared" si="18"/>
        <v>108.28849646419685</v>
      </c>
      <c r="DQ58" s="17">
        <f t="shared" si="18"/>
        <v>105.11277518997035</v>
      </c>
      <c r="DR58" s="17">
        <f t="shared" si="18"/>
        <v>101.93706629137675</v>
      </c>
      <c r="DS58" s="17">
        <f t="shared" si="18"/>
        <v>98.761364101356122</v>
      </c>
      <c r="DT58" s="17">
        <f t="shared" si="18"/>
        <v>95.585667159413134</v>
      </c>
      <c r="DU58" s="17">
        <f t="shared" si="24"/>
        <v>92.409975086136384</v>
      </c>
      <c r="DV58" s="17">
        <f t="shared" si="24"/>
        <v>89.234287751371511</v>
      </c>
      <c r="DW58" s="17">
        <f t="shared" si="24"/>
        <v>86.058605053388263</v>
      </c>
      <c r="DX58" s="17">
        <f t="shared" si="24"/>
        <v>82.882926860962229</v>
      </c>
      <c r="DY58" s="17">
        <f t="shared" si="24"/>
        <v>79.707252999149787</v>
      </c>
      <c r="DZ58" s="17">
        <f t="shared" si="24"/>
        <v>76.531583247053632</v>
      </c>
      <c r="EA58" s="17">
        <f t="shared" si="24"/>
        <v>73.355917339144113</v>
      </c>
      <c r="EB58" s="17">
        <f t="shared" si="24"/>
        <v>70.180254967878042</v>
      </c>
      <c r="EC58" s="17">
        <f t="shared" si="20"/>
        <v>67.004595786991487</v>
      </c>
      <c r="ED58" s="17">
        <f t="shared" si="20"/>
        <v>63.828939415273219</v>
      </c>
      <c r="EE58" s="17">
        <f t="shared" si="20"/>
        <v>60.653285440736077</v>
      </c>
      <c r="EF58" s="17">
        <f t="shared" si="20"/>
        <v>57.477633425129426</v>
      </c>
      <c r="EG58" s="17">
        <f t="shared" si="20"/>
        <v>54.301982908740214</v>
      </c>
      <c r="EH58" s="17">
        <f t="shared" si="20"/>
        <v>51.126333415429777</v>
      </c>
    </row>
    <row r="59" spans="5:138" ht="15.6" x14ac:dyDescent="0.3">
      <c r="E59" s="25"/>
      <c r="F59" s="15">
        <v>3.3333333333333333E-2</v>
      </c>
      <c r="G59" s="7">
        <f t="shared" si="10"/>
        <v>300</v>
      </c>
      <c r="H59" s="7">
        <f t="shared" si="11"/>
        <v>293.33323995443413</v>
      </c>
      <c r="I59" s="7">
        <f t="shared" si="11"/>
        <v>286.66648093194704</v>
      </c>
      <c r="J59" s="7">
        <f t="shared" si="11"/>
        <v>279.9997239444084</v>
      </c>
      <c r="K59" s="7">
        <f t="shared" si="11"/>
        <v>273.33296998139258</v>
      </c>
      <c r="L59" s="7">
        <f t="shared" si="11"/>
        <v>266.6662199993367</v>
      </c>
      <c r="M59" s="7">
        <f t="shared" si="11"/>
        <v>259.99947491106161</v>
      </c>
      <c r="N59" s="7">
        <f t="shared" si="11"/>
        <v>253.33273557577087</v>
      </c>
      <c r="O59" s="7">
        <f t="shared" si="11"/>
        <v>246.66600278963702</v>
      </c>
      <c r="P59" s="7">
        <f t="shared" si="11"/>
        <v>239.99927727707887</v>
      </c>
      <c r="Q59" s="7">
        <f t="shared" si="11"/>
        <v>233.33255968282424</v>
      </c>
      <c r="R59" s="7">
        <f t="shared" si="11"/>
        <v>226.66585056484649</v>
      </c>
      <c r="S59" s="7">
        <f t="shared" si="11"/>
        <v>219.99915038825105</v>
      </c>
      <c r="T59" s="7">
        <f t="shared" si="11"/>
        <v>213.33245952017973</v>
      </c>
      <c r="U59" s="7">
        <f t="shared" si="11"/>
        <v>206.66577822578819</v>
      </c>
      <c r="V59" s="7">
        <f t="shared" si="11"/>
        <v>199.99910666534083</v>
      </c>
      <c r="W59" s="7">
        <f t="shared" si="11"/>
        <v>193.33244489245493</v>
      </c>
      <c r="X59" s="7">
        <f t="shared" si="25"/>
        <v>186.66579285351324</v>
      </c>
      <c r="Y59" s="7">
        <f t="shared" si="25"/>
        <v>179.99915038825125</v>
      </c>
      <c r="Z59" s="7">
        <f t="shared" si="25"/>
        <v>173.33251723151341</v>
      </c>
      <c r="AA59" s="7">
        <f t="shared" si="25"/>
        <v>166.66589301615784</v>
      </c>
      <c r="AB59" s="7">
        <f t="shared" si="21"/>
        <v>159.99927727707916</v>
      </c>
      <c r="AC59" s="7">
        <f t="shared" si="21"/>
        <v>153.33266945630407</v>
      </c>
      <c r="AD59" s="7">
        <f t="shared" si="21"/>
        <v>146.66606890910464</v>
      </c>
      <c r="AE59" s="7">
        <f t="shared" si="21"/>
        <v>139.99947491106209</v>
      </c>
      <c r="AF59" s="7">
        <f t="shared" si="21"/>
        <v>133.33288666600384</v>
      </c>
      <c r="AG59" s="7">
        <f t="shared" si="21"/>
        <v>126.66630331472635</v>
      </c>
      <c r="AH59" s="7">
        <f t="shared" si="21"/>
        <v>119.99972394440871</v>
      </c>
      <c r="AI59" s="7">
        <f t="shared" si="21"/>
        <v>113.33314759861393</v>
      </c>
      <c r="AJ59" s="7">
        <f t="shared" si="21"/>
        <v>106.66657328776758</v>
      </c>
      <c r="AK59" s="7">
        <f t="shared" si="13"/>
        <v>100</v>
      </c>
      <c r="AL59" s="25"/>
      <c r="AM59" s="15">
        <v>3.3333333333333333E-2</v>
      </c>
      <c r="AN59" s="26">
        <f t="shared" si="14"/>
        <v>-538200000</v>
      </c>
      <c r="AO59" s="26">
        <f t="shared" si="14"/>
        <v>-526239828.24270868</v>
      </c>
      <c r="AP59" s="26">
        <f t="shared" si="14"/>
        <v>-514279658.36722636</v>
      </c>
      <c r="AQ59" s="26">
        <f t="shared" si="14"/>
        <v>-502319492.23474407</v>
      </c>
      <c r="AR59" s="26">
        <f t="shared" si="14"/>
        <v>-490359331.66544437</v>
      </c>
      <c r="AS59" s="26">
        <f t="shared" si="14"/>
        <v>-478399178.41855794</v>
      </c>
      <c r="AT59" s="26">
        <f t="shared" si="14"/>
        <v>-466439034.17308962</v>
      </c>
      <c r="AU59" s="26">
        <f t="shared" si="14"/>
        <v>-454478900.50942326</v>
      </c>
      <c r="AV59" s="26">
        <f t="shared" si="14"/>
        <v>-442518778.89200544</v>
      </c>
      <c r="AW59" s="26">
        <f t="shared" si="14"/>
        <v>-430558670.65330279</v>
      </c>
      <c r="AX59" s="26">
        <f t="shared" si="14"/>
        <v>-418598576.97920042</v>
      </c>
      <c r="AY59" s="26">
        <f t="shared" si="14"/>
        <v>-406638498.89601183</v>
      </c>
      <c r="AZ59" s="26">
        <f t="shared" si="14"/>
        <v>-394678437.25923252</v>
      </c>
      <c r="BA59" s="26">
        <f t="shared" si="14"/>
        <v>-382718392.74416822</v>
      </c>
      <c r="BB59" s="26">
        <f t="shared" si="14"/>
        <v>-370758365.83853513</v>
      </c>
      <c r="BC59" s="26">
        <f t="shared" si="14"/>
        <v>-358798356.8371169</v>
      </c>
      <c r="BD59" s="26">
        <f t="shared" si="22"/>
        <v>-346838365.83853519</v>
      </c>
      <c r="BE59" s="26">
        <f t="shared" si="22"/>
        <v>-334878392.74416852</v>
      </c>
      <c r="BF59" s="26">
        <f t="shared" si="22"/>
        <v>-322918437.25923288</v>
      </c>
      <c r="BG59" s="26">
        <f t="shared" si="22"/>
        <v>-310958498.89601219</v>
      </c>
      <c r="BH59" s="26">
        <f t="shared" si="22"/>
        <v>-298998576.97920084</v>
      </c>
      <c r="BI59" s="26">
        <f t="shared" si="22"/>
        <v>-287038670.65330327</v>
      </c>
      <c r="BJ59" s="26">
        <f t="shared" si="22"/>
        <v>-275078778.89200634</v>
      </c>
      <c r="BK59" s="26">
        <f t="shared" si="22"/>
        <v>-263118900.50942403</v>
      </c>
      <c r="BL59" s="26">
        <f t="shared" si="19"/>
        <v>-251159034.17309049</v>
      </c>
      <c r="BM59" s="26">
        <f t="shared" si="19"/>
        <v>-239199178.41855872</v>
      </c>
      <c r="BN59" s="26">
        <f t="shared" si="19"/>
        <v>-227239331.66544515</v>
      </c>
      <c r="BO59" s="26">
        <f t="shared" si="19"/>
        <v>-215279492.23474473</v>
      </c>
      <c r="BP59" s="26">
        <f t="shared" si="19"/>
        <v>-203319658.36722684</v>
      </c>
      <c r="BQ59" s="26">
        <f t="shared" si="19"/>
        <v>-191359828.24270895</v>
      </c>
      <c r="BR59" s="26">
        <f t="shared" si="19"/>
        <v>-179400000</v>
      </c>
      <c r="BS59" s="7"/>
      <c r="BT59" s="25"/>
      <c r="BU59" s="15">
        <v>3.3333333333333333E-2</v>
      </c>
      <c r="BV59" s="17">
        <v>0</v>
      </c>
      <c r="BW59" s="17">
        <f t="shared" si="28"/>
        <v>0.41095890410958902</v>
      </c>
      <c r="BX59" s="17">
        <f t="shared" si="28"/>
        <v>0.49446827726349057</v>
      </c>
      <c r="BY59" s="17">
        <f t="shared" si="28"/>
        <v>0.51576565211146774</v>
      </c>
      <c r="BZ59" s="17">
        <f t="shared" si="28"/>
        <v>0.52149397895713612</v>
      </c>
      <c r="CA59" s="17">
        <f t="shared" si="28"/>
        <v>0.52305649933975962</v>
      </c>
      <c r="CB59" s="17">
        <f t="shared" si="28"/>
        <v>0.52348433598989241</v>
      </c>
      <c r="CC59" s="17">
        <f t="shared" si="28"/>
        <v>0.52360160483419294</v>
      </c>
      <c r="CD59" s="17">
        <f t="shared" si="28"/>
        <v>0.52363375707534621</v>
      </c>
      <c r="CE59" s="17">
        <f t="shared" si="28"/>
        <v>0.52364257312109652</v>
      </c>
      <c r="CF59" s="17">
        <f t="shared" si="28"/>
        <v>0.5236449905056163</v>
      </c>
      <c r="CG59" s="17">
        <f t="shared" si="28"/>
        <v>0.52364565336314417</v>
      </c>
      <c r="CH59" s="17">
        <f t="shared" si="28"/>
        <v>0.52364583512190344</v>
      </c>
      <c r="CI59" s="17">
        <f t="shared" si="28"/>
        <v>0.52364588496106157</v>
      </c>
      <c r="CJ59" s="17">
        <f t="shared" si="28"/>
        <v>0.52364589862720901</v>
      </c>
      <c r="CK59" s="17">
        <f t="shared" si="28"/>
        <v>0.52364590237453534</v>
      </c>
      <c r="CL59" s="17">
        <f t="shared" si="28"/>
        <v>0.52364590340207107</v>
      </c>
      <c r="CM59" s="17">
        <f t="shared" si="28"/>
        <v>0.52364590368382657</v>
      </c>
      <c r="CN59" s="17">
        <f t="shared" si="28"/>
        <v>0.52364590376108522</v>
      </c>
      <c r="CO59" s="17">
        <f t="shared" si="28"/>
        <v>0.52364590378227005</v>
      </c>
      <c r="CP59" s="17">
        <f t="shared" si="28"/>
        <v>0.52364590378807896</v>
      </c>
      <c r="CQ59" s="17">
        <f t="shared" si="28"/>
        <v>0.5236459037896718</v>
      </c>
      <c r="CR59" s="17">
        <f t="shared" si="28"/>
        <v>0.52364590379010867</v>
      </c>
      <c r="CS59" s="17">
        <f t="shared" si="28"/>
        <v>0.52364590379022846</v>
      </c>
      <c r="CT59" s="17">
        <f t="shared" si="28"/>
        <v>0.52364590379026121</v>
      </c>
      <c r="CU59" s="17">
        <f t="shared" si="28"/>
        <v>0.52364590379027021</v>
      </c>
      <c r="CV59" s="17">
        <f t="shared" si="28"/>
        <v>0.52364590379027265</v>
      </c>
      <c r="CW59" s="17">
        <f t="shared" si="28"/>
        <v>0.52364590379027331</v>
      </c>
      <c r="CX59" s="17">
        <f t="shared" si="28"/>
        <v>0.52364590379027354</v>
      </c>
      <c r="CY59" s="17">
        <f t="shared" si="28"/>
        <v>0.52364590379027354</v>
      </c>
      <c r="CZ59" s="17">
        <f t="shared" si="16"/>
        <v>100</v>
      </c>
      <c r="DA59" s="7"/>
      <c r="DB59" s="25"/>
      <c r="DC59" s="15">
        <v>3.3333333333333333E-2</v>
      </c>
      <c r="DD59" s="17">
        <f t="shared" si="17"/>
        <v>300</v>
      </c>
      <c r="DE59" s="17">
        <f t="shared" si="18"/>
        <v>175.52509710568879</v>
      </c>
      <c r="DF59" s="17">
        <f t="shared" si="18"/>
        <v>148.21549979890247</v>
      </c>
      <c r="DG59" s="17">
        <f t="shared" si="18"/>
        <v>139.0239664383912</v>
      </c>
      <c r="DH59" s="17">
        <f t="shared" si="18"/>
        <v>134.26814186047946</v>
      </c>
      <c r="DI59" s="17">
        <f t="shared" si="18"/>
        <v>130.67180482218117</v>
      </c>
      <c r="DJ59" s="17">
        <f t="shared" si="18"/>
        <v>127.38375604367623</v>
      </c>
      <c r="DK59" s="17">
        <f t="shared" si="18"/>
        <v>124.17802065708142</v>
      </c>
      <c r="DL59" s="17">
        <f t="shared" si="18"/>
        <v>120.99427953367244</v>
      </c>
      <c r="DM59" s="17">
        <f t="shared" si="18"/>
        <v>117.81641533183296</v>
      </c>
      <c r="DN59" s="17">
        <f t="shared" si="18"/>
        <v>114.64012251584776</v>
      </c>
      <c r="DO59" s="17">
        <f t="shared" si="18"/>
        <v>111.46425172045414</v>
      </c>
      <c r="DP59" s="17">
        <f t="shared" si="18"/>
        <v>108.28849646419687</v>
      </c>
      <c r="DQ59" s="17">
        <f t="shared" si="18"/>
        <v>105.11277518997039</v>
      </c>
      <c r="DR59" s="17">
        <f t="shared" si="18"/>
        <v>101.93706629137678</v>
      </c>
      <c r="DS59" s="17">
        <f t="shared" si="18"/>
        <v>98.761364101356151</v>
      </c>
      <c r="DT59" s="17">
        <f t="shared" si="18"/>
        <v>95.585667159413148</v>
      </c>
      <c r="DU59" s="17">
        <f t="shared" si="24"/>
        <v>92.409975086136413</v>
      </c>
      <c r="DV59" s="17">
        <f t="shared" si="24"/>
        <v>89.234287751371539</v>
      </c>
      <c r="DW59" s="17">
        <f t="shared" si="24"/>
        <v>86.058605053388291</v>
      </c>
      <c r="DX59" s="17">
        <f t="shared" si="24"/>
        <v>82.882926860962257</v>
      </c>
      <c r="DY59" s="17">
        <f t="shared" si="24"/>
        <v>79.707252999149816</v>
      </c>
      <c r="DZ59" s="17">
        <f t="shared" si="24"/>
        <v>76.531583247053632</v>
      </c>
      <c r="EA59" s="17">
        <f t="shared" si="24"/>
        <v>73.355917339144113</v>
      </c>
      <c r="EB59" s="17">
        <f t="shared" si="24"/>
        <v>70.180254967878042</v>
      </c>
      <c r="EC59" s="17">
        <f t="shared" si="20"/>
        <v>67.004595786991487</v>
      </c>
      <c r="ED59" s="17">
        <f t="shared" si="20"/>
        <v>63.828939415273226</v>
      </c>
      <c r="EE59" s="17">
        <f t="shared" si="20"/>
        <v>60.653285440736084</v>
      </c>
      <c r="EF59" s="17">
        <f t="shared" si="20"/>
        <v>57.477633425129433</v>
      </c>
      <c r="EG59" s="17">
        <f t="shared" si="20"/>
        <v>54.301982908740221</v>
      </c>
      <c r="EH59" s="17">
        <f t="shared" si="20"/>
        <v>51.126333415429784</v>
      </c>
    </row>
    <row r="60" spans="5:138" ht="15.6" x14ac:dyDescent="0.3">
      <c r="E60" s="25"/>
      <c r="F60" s="15">
        <v>3.0000000000000002E-2</v>
      </c>
      <c r="G60" s="7">
        <f t="shared" si="10"/>
        <v>300</v>
      </c>
      <c r="H60" s="7">
        <f t="shared" si="11"/>
        <v>293.33323995443419</v>
      </c>
      <c r="I60" s="7">
        <f t="shared" si="11"/>
        <v>286.66648093194709</v>
      </c>
      <c r="J60" s="7">
        <f t="shared" si="11"/>
        <v>279.99972394440846</v>
      </c>
      <c r="K60" s="7">
        <f t="shared" si="11"/>
        <v>273.33296998139269</v>
      </c>
      <c r="L60" s="7">
        <f t="shared" si="11"/>
        <v>266.66621999933682</v>
      </c>
      <c r="M60" s="7">
        <f t="shared" si="11"/>
        <v>259.99947491106172</v>
      </c>
      <c r="N60" s="7">
        <f t="shared" si="11"/>
        <v>253.33273557577095</v>
      </c>
      <c r="O60" s="7">
        <f t="shared" si="11"/>
        <v>246.6660027896371</v>
      </c>
      <c r="P60" s="7">
        <f t="shared" si="11"/>
        <v>239.99927727707893</v>
      </c>
      <c r="Q60" s="7">
        <f t="shared" si="11"/>
        <v>233.3325596828243</v>
      </c>
      <c r="R60" s="7">
        <f t="shared" si="11"/>
        <v>226.66585056484655</v>
      </c>
      <c r="S60" s="7">
        <f t="shared" si="11"/>
        <v>219.99915038825111</v>
      </c>
      <c r="T60" s="7">
        <f t="shared" si="11"/>
        <v>213.33245952017978</v>
      </c>
      <c r="U60" s="7">
        <f t="shared" si="11"/>
        <v>206.66577822578824</v>
      </c>
      <c r="V60" s="7">
        <f t="shared" si="11"/>
        <v>199.99910666534089</v>
      </c>
      <c r="W60" s="7">
        <f t="shared" si="11"/>
        <v>193.33244489245499</v>
      </c>
      <c r="X60" s="7">
        <f t="shared" si="25"/>
        <v>186.66579285351327</v>
      </c>
      <c r="Y60" s="7">
        <f t="shared" si="25"/>
        <v>179.99915038825128</v>
      </c>
      <c r="Z60" s="7">
        <f t="shared" si="25"/>
        <v>173.33251723151344</v>
      </c>
      <c r="AA60" s="7">
        <f t="shared" si="25"/>
        <v>166.6658930161579</v>
      </c>
      <c r="AB60" s="7">
        <f t="shared" si="21"/>
        <v>159.99927727707924</v>
      </c>
      <c r="AC60" s="7">
        <f t="shared" si="21"/>
        <v>153.33266945630413</v>
      </c>
      <c r="AD60" s="7">
        <f t="shared" si="21"/>
        <v>146.66606890910469</v>
      </c>
      <c r="AE60" s="7">
        <f t="shared" si="21"/>
        <v>139.99947491106215</v>
      </c>
      <c r="AF60" s="7">
        <f t="shared" si="21"/>
        <v>133.3328866660039</v>
      </c>
      <c r="AG60" s="7">
        <f t="shared" si="21"/>
        <v>126.66630331472638</v>
      </c>
      <c r="AH60" s="7">
        <f t="shared" si="21"/>
        <v>119.99972394440874</v>
      </c>
      <c r="AI60" s="7">
        <f t="shared" si="21"/>
        <v>113.33314759861395</v>
      </c>
      <c r="AJ60" s="7">
        <f t="shared" si="21"/>
        <v>106.66657328776759</v>
      </c>
      <c r="AK60" s="7">
        <f t="shared" si="13"/>
        <v>100</v>
      </c>
      <c r="AL60" s="25"/>
      <c r="AM60" s="15">
        <v>3.0000000000000002E-2</v>
      </c>
      <c r="AN60" s="26">
        <f t="shared" si="14"/>
        <v>-538200000</v>
      </c>
      <c r="AO60" s="26">
        <f t="shared" si="14"/>
        <v>-526239828.24270886</v>
      </c>
      <c r="AP60" s="26">
        <f t="shared" si="14"/>
        <v>-514279658.36722654</v>
      </c>
      <c r="AQ60" s="26">
        <f t="shared" si="14"/>
        <v>-502319492.23474425</v>
      </c>
      <c r="AR60" s="26">
        <f t="shared" si="14"/>
        <v>-490359331.66544449</v>
      </c>
      <c r="AS60" s="26">
        <f t="shared" si="14"/>
        <v>-478399178.418558</v>
      </c>
      <c r="AT60" s="26">
        <f t="shared" si="14"/>
        <v>-466439034.17308974</v>
      </c>
      <c r="AU60" s="26">
        <f t="shared" si="14"/>
        <v>-454478900.50942332</v>
      </c>
      <c r="AV60" s="26">
        <f t="shared" si="14"/>
        <v>-442518778.89200568</v>
      </c>
      <c r="AW60" s="26">
        <f t="shared" si="14"/>
        <v>-430558670.65330285</v>
      </c>
      <c r="AX60" s="26">
        <f t="shared" si="14"/>
        <v>-418598576.97920054</v>
      </c>
      <c r="AY60" s="26">
        <f t="shared" si="14"/>
        <v>-406638498.89601189</v>
      </c>
      <c r="AZ60" s="26">
        <f t="shared" si="14"/>
        <v>-394678437.25923264</v>
      </c>
      <c r="BA60" s="26">
        <f t="shared" si="14"/>
        <v>-382718392.74416834</v>
      </c>
      <c r="BB60" s="26">
        <f t="shared" si="14"/>
        <v>-370758365.83853525</v>
      </c>
      <c r="BC60" s="26">
        <f t="shared" si="14"/>
        <v>-358798356.83711702</v>
      </c>
      <c r="BD60" s="26">
        <f t="shared" si="22"/>
        <v>-346838365.83853531</v>
      </c>
      <c r="BE60" s="26">
        <f t="shared" si="22"/>
        <v>-334878392.74416858</v>
      </c>
      <c r="BF60" s="26">
        <f t="shared" si="22"/>
        <v>-322918437.25923294</v>
      </c>
      <c r="BG60" s="26">
        <f t="shared" si="22"/>
        <v>-310958498.89601237</v>
      </c>
      <c r="BH60" s="26">
        <f t="shared" si="22"/>
        <v>-298998576.97920096</v>
      </c>
      <c r="BI60" s="26">
        <f t="shared" si="22"/>
        <v>-287038670.65330338</v>
      </c>
      <c r="BJ60" s="26">
        <f t="shared" si="22"/>
        <v>-275078778.8920064</v>
      </c>
      <c r="BK60" s="26">
        <f t="shared" si="22"/>
        <v>-263118900.50942412</v>
      </c>
      <c r="BL60" s="26">
        <f t="shared" si="19"/>
        <v>-251159034.17309061</v>
      </c>
      <c r="BM60" s="26">
        <f t="shared" si="19"/>
        <v>-239199178.41855878</v>
      </c>
      <c r="BN60" s="26">
        <f t="shared" si="19"/>
        <v>-227239331.66544518</v>
      </c>
      <c r="BO60" s="26">
        <f t="shared" si="19"/>
        <v>-215279492.23474479</v>
      </c>
      <c r="BP60" s="26">
        <f t="shared" si="19"/>
        <v>-203319658.36722687</v>
      </c>
      <c r="BQ60" s="26">
        <f t="shared" si="19"/>
        <v>-191359828.24270898</v>
      </c>
      <c r="BR60" s="26">
        <f t="shared" si="19"/>
        <v>-179400000</v>
      </c>
      <c r="BS60" s="7"/>
      <c r="BT60" s="25"/>
      <c r="BU60" s="15">
        <v>3.0000000000000002E-2</v>
      </c>
      <c r="BV60" s="17">
        <v>0</v>
      </c>
      <c r="BW60" s="17">
        <f t="shared" si="28"/>
        <v>0.41095890410958902</v>
      </c>
      <c r="BX60" s="17">
        <f t="shared" si="28"/>
        <v>0.49446827726349057</v>
      </c>
      <c r="BY60" s="17">
        <f t="shared" si="28"/>
        <v>0.51576565211146774</v>
      </c>
      <c r="BZ60" s="17">
        <f t="shared" si="28"/>
        <v>0.52149397895713612</v>
      </c>
      <c r="CA60" s="17">
        <f t="shared" si="28"/>
        <v>0.52305649933975962</v>
      </c>
      <c r="CB60" s="17">
        <f t="shared" si="28"/>
        <v>0.52348433598989241</v>
      </c>
      <c r="CC60" s="17">
        <f t="shared" si="28"/>
        <v>0.52360160483419294</v>
      </c>
      <c r="CD60" s="17">
        <f t="shared" si="28"/>
        <v>0.52363375707534621</v>
      </c>
      <c r="CE60" s="17">
        <f t="shared" si="28"/>
        <v>0.52364257312109652</v>
      </c>
      <c r="CF60" s="17">
        <f t="shared" si="28"/>
        <v>0.5236449905056163</v>
      </c>
      <c r="CG60" s="17">
        <f t="shared" si="28"/>
        <v>0.52364565336314417</v>
      </c>
      <c r="CH60" s="17">
        <f t="shared" si="28"/>
        <v>0.52364583512190344</v>
      </c>
      <c r="CI60" s="17">
        <f t="shared" si="28"/>
        <v>0.52364588496106157</v>
      </c>
      <c r="CJ60" s="17">
        <f t="shared" si="28"/>
        <v>0.52364589862720901</v>
      </c>
      <c r="CK60" s="17">
        <f t="shared" si="28"/>
        <v>0.52364590237453534</v>
      </c>
      <c r="CL60" s="17">
        <f t="shared" si="28"/>
        <v>0.52364590340207107</v>
      </c>
      <c r="CM60" s="17">
        <f t="shared" si="28"/>
        <v>0.52364590368382657</v>
      </c>
      <c r="CN60" s="17">
        <f t="shared" si="28"/>
        <v>0.52364590376108522</v>
      </c>
      <c r="CO60" s="17">
        <f t="shared" si="28"/>
        <v>0.52364590378227005</v>
      </c>
      <c r="CP60" s="17">
        <f t="shared" si="28"/>
        <v>0.52364590378807896</v>
      </c>
      <c r="CQ60" s="17">
        <f t="shared" si="28"/>
        <v>0.5236459037896718</v>
      </c>
      <c r="CR60" s="17">
        <f t="shared" si="28"/>
        <v>0.52364590379010867</v>
      </c>
      <c r="CS60" s="17">
        <f t="shared" si="28"/>
        <v>0.52364590379022846</v>
      </c>
      <c r="CT60" s="17">
        <f t="shared" si="28"/>
        <v>0.52364590379026121</v>
      </c>
      <c r="CU60" s="17">
        <f t="shared" si="28"/>
        <v>0.52364590379027021</v>
      </c>
      <c r="CV60" s="17">
        <f t="shared" si="28"/>
        <v>0.52364590379027265</v>
      </c>
      <c r="CW60" s="17">
        <f t="shared" si="28"/>
        <v>0.52364590379027331</v>
      </c>
      <c r="CX60" s="17">
        <f t="shared" si="28"/>
        <v>0.52364590379027354</v>
      </c>
      <c r="CY60" s="17">
        <f t="shared" si="28"/>
        <v>0.52364590379027354</v>
      </c>
      <c r="CZ60" s="17">
        <f t="shared" si="16"/>
        <v>100</v>
      </c>
      <c r="DA60" s="7"/>
      <c r="DB60" s="25"/>
      <c r="DC60" s="15">
        <v>3.0000000000000002E-2</v>
      </c>
      <c r="DD60" s="17">
        <f t="shared" si="17"/>
        <v>300</v>
      </c>
      <c r="DE60" s="17">
        <f t="shared" si="18"/>
        <v>175.52509710568881</v>
      </c>
      <c r="DF60" s="17">
        <f t="shared" si="18"/>
        <v>148.2154997989025</v>
      </c>
      <c r="DG60" s="17">
        <f t="shared" si="18"/>
        <v>139.02396643839123</v>
      </c>
      <c r="DH60" s="17">
        <f t="shared" si="18"/>
        <v>134.26814186047949</v>
      </c>
      <c r="DI60" s="17">
        <f t="shared" si="18"/>
        <v>130.6718048221812</v>
      </c>
      <c r="DJ60" s="17">
        <f t="shared" si="18"/>
        <v>127.38375604367626</v>
      </c>
      <c r="DK60" s="17">
        <f t="shared" si="18"/>
        <v>124.17802065708145</v>
      </c>
      <c r="DL60" s="17">
        <f t="shared" si="18"/>
        <v>120.99427953367248</v>
      </c>
      <c r="DM60" s="17">
        <f t="shared" si="18"/>
        <v>117.81641533183299</v>
      </c>
      <c r="DN60" s="17">
        <f t="shared" si="18"/>
        <v>114.64012251584779</v>
      </c>
      <c r="DO60" s="17">
        <f t="shared" si="18"/>
        <v>111.46425172045419</v>
      </c>
      <c r="DP60" s="17">
        <f t="shared" si="18"/>
        <v>108.28849646419691</v>
      </c>
      <c r="DQ60" s="17">
        <f t="shared" si="18"/>
        <v>105.11277518997042</v>
      </c>
      <c r="DR60" s="17">
        <f t="shared" si="18"/>
        <v>101.93706629137681</v>
      </c>
      <c r="DS60" s="17">
        <f t="shared" si="18"/>
        <v>98.761364101356179</v>
      </c>
      <c r="DT60" s="17">
        <f t="shared" si="18"/>
        <v>95.585667159413177</v>
      </c>
      <c r="DU60" s="17">
        <f t="shared" si="24"/>
        <v>92.409975086136427</v>
      </c>
      <c r="DV60" s="17">
        <f t="shared" si="24"/>
        <v>89.234287751371539</v>
      </c>
      <c r="DW60" s="17">
        <f t="shared" si="24"/>
        <v>86.058605053388305</v>
      </c>
      <c r="DX60" s="17">
        <f t="shared" si="24"/>
        <v>82.882926860962286</v>
      </c>
      <c r="DY60" s="17">
        <f t="shared" si="24"/>
        <v>79.707252999149858</v>
      </c>
      <c r="DZ60" s="17">
        <f t="shared" si="24"/>
        <v>76.531583247053661</v>
      </c>
      <c r="EA60" s="17">
        <f t="shared" si="24"/>
        <v>73.355917339144142</v>
      </c>
      <c r="EB60" s="17">
        <f t="shared" si="24"/>
        <v>70.180254967878071</v>
      </c>
      <c r="EC60" s="17">
        <f t="shared" si="20"/>
        <v>67.004595786991516</v>
      </c>
      <c r="ED60" s="17">
        <f t="shared" si="20"/>
        <v>63.828939415273247</v>
      </c>
      <c r="EE60" s="17">
        <f t="shared" si="20"/>
        <v>60.653285440736106</v>
      </c>
      <c r="EF60" s="17">
        <f t="shared" si="20"/>
        <v>57.477633425129447</v>
      </c>
      <c r="EG60" s="17">
        <f t="shared" si="20"/>
        <v>54.301982908740229</v>
      </c>
      <c r="EH60" s="17">
        <f t="shared" si="20"/>
        <v>51.126333415429791</v>
      </c>
    </row>
    <row r="61" spans="5:138" ht="15.6" x14ac:dyDescent="0.3">
      <c r="E61" s="25"/>
      <c r="F61" s="15">
        <v>2.6666666666666668E-2</v>
      </c>
      <c r="G61" s="7">
        <f t="shared" si="10"/>
        <v>300</v>
      </c>
      <c r="H61" s="7">
        <f t="shared" si="11"/>
        <v>293.33323995443419</v>
      </c>
      <c r="I61" s="7">
        <f t="shared" si="11"/>
        <v>286.66648093194709</v>
      </c>
      <c r="J61" s="7">
        <f t="shared" si="11"/>
        <v>279.99972394440846</v>
      </c>
      <c r="K61" s="7">
        <f t="shared" si="11"/>
        <v>273.33296998139269</v>
      </c>
      <c r="L61" s="7">
        <f t="shared" si="11"/>
        <v>266.66621999933687</v>
      </c>
      <c r="M61" s="7">
        <f t="shared" si="11"/>
        <v>259.99947491106178</v>
      </c>
      <c r="N61" s="7">
        <f t="shared" si="11"/>
        <v>253.33273557577101</v>
      </c>
      <c r="O61" s="7">
        <f t="shared" si="11"/>
        <v>246.66600278963716</v>
      </c>
      <c r="P61" s="7">
        <f t="shared" si="11"/>
        <v>239.99927727707902</v>
      </c>
      <c r="Q61" s="7">
        <f t="shared" si="11"/>
        <v>233.33255968282438</v>
      </c>
      <c r="R61" s="7">
        <f t="shared" si="11"/>
        <v>226.66585056484661</v>
      </c>
      <c r="S61" s="7">
        <f t="shared" si="11"/>
        <v>219.99915038825119</v>
      </c>
      <c r="T61" s="7">
        <f t="shared" si="11"/>
        <v>213.33245952017987</v>
      </c>
      <c r="U61" s="7">
        <f t="shared" si="11"/>
        <v>206.66577822578833</v>
      </c>
      <c r="V61" s="7">
        <f t="shared" si="11"/>
        <v>199.99910666534095</v>
      </c>
      <c r="W61" s="7">
        <f t="shared" si="11"/>
        <v>193.33244489245502</v>
      </c>
      <c r="X61" s="7">
        <f t="shared" si="25"/>
        <v>186.6657928535133</v>
      </c>
      <c r="Y61" s="7">
        <f t="shared" si="25"/>
        <v>179.99915038825131</v>
      </c>
      <c r="Z61" s="7">
        <f t="shared" si="25"/>
        <v>173.33251723151346</v>
      </c>
      <c r="AA61" s="7">
        <f t="shared" si="25"/>
        <v>166.6658930161579</v>
      </c>
      <c r="AB61" s="7">
        <f t="shared" si="21"/>
        <v>159.99927727707927</v>
      </c>
      <c r="AC61" s="7">
        <f t="shared" si="21"/>
        <v>153.33266945630422</v>
      </c>
      <c r="AD61" s="7">
        <f t="shared" si="21"/>
        <v>146.66606890910475</v>
      </c>
      <c r="AE61" s="7">
        <f t="shared" si="21"/>
        <v>139.99947491106221</v>
      </c>
      <c r="AF61" s="7">
        <f t="shared" si="21"/>
        <v>133.33288666600396</v>
      </c>
      <c r="AG61" s="7">
        <f t="shared" si="21"/>
        <v>126.66630331472641</v>
      </c>
      <c r="AH61" s="7">
        <f t="shared" si="21"/>
        <v>119.99972394440877</v>
      </c>
      <c r="AI61" s="7">
        <f t="shared" si="21"/>
        <v>113.33314759861398</v>
      </c>
      <c r="AJ61" s="7">
        <f t="shared" si="21"/>
        <v>106.6665732877676</v>
      </c>
      <c r="AK61" s="7">
        <f t="shared" si="13"/>
        <v>100</v>
      </c>
      <c r="AL61" s="25"/>
      <c r="AM61" s="15">
        <v>2.6666666666666668E-2</v>
      </c>
      <c r="AN61" s="26">
        <f t="shared" si="14"/>
        <v>-538200000</v>
      </c>
      <c r="AO61" s="26">
        <f t="shared" si="14"/>
        <v>-526239828.24270886</v>
      </c>
      <c r="AP61" s="26">
        <f t="shared" si="14"/>
        <v>-514279658.36722654</v>
      </c>
      <c r="AQ61" s="26">
        <f t="shared" si="14"/>
        <v>-502319492.23474425</v>
      </c>
      <c r="AR61" s="26">
        <f t="shared" si="14"/>
        <v>-490359331.66544461</v>
      </c>
      <c r="AS61" s="26">
        <f t="shared" si="14"/>
        <v>-478399178.41855812</v>
      </c>
      <c r="AT61" s="26">
        <f t="shared" si="14"/>
        <v>-466439034.17308986</v>
      </c>
      <c r="AU61" s="26">
        <f t="shared" si="14"/>
        <v>-454478900.50942343</v>
      </c>
      <c r="AV61" s="26">
        <f t="shared" si="14"/>
        <v>-442518778.89200574</v>
      </c>
      <c r="AW61" s="26">
        <f t="shared" si="14"/>
        <v>-430558670.65330297</v>
      </c>
      <c r="AX61" s="26">
        <f t="shared" si="14"/>
        <v>-418598576.97920066</v>
      </c>
      <c r="AY61" s="26">
        <f t="shared" si="14"/>
        <v>-406638498.89601201</v>
      </c>
      <c r="AZ61" s="26">
        <f t="shared" si="14"/>
        <v>-394678437.25923276</v>
      </c>
      <c r="BA61" s="26">
        <f t="shared" si="14"/>
        <v>-382718392.74416846</v>
      </c>
      <c r="BB61" s="26">
        <f t="shared" si="14"/>
        <v>-370758365.83853525</v>
      </c>
      <c r="BC61" s="26">
        <f t="shared" si="14"/>
        <v>-358798356.83711714</v>
      </c>
      <c r="BD61" s="26">
        <f t="shared" si="22"/>
        <v>-346838365.83853537</v>
      </c>
      <c r="BE61" s="26">
        <f t="shared" si="22"/>
        <v>-334878392.74416858</v>
      </c>
      <c r="BF61" s="26">
        <f t="shared" si="22"/>
        <v>-322918437.259233</v>
      </c>
      <c r="BG61" s="26">
        <f t="shared" si="22"/>
        <v>-310958498.89601243</v>
      </c>
      <c r="BH61" s="26">
        <f t="shared" si="22"/>
        <v>-298998576.97920102</v>
      </c>
      <c r="BI61" s="26">
        <f t="shared" si="22"/>
        <v>-287038670.65330344</v>
      </c>
      <c r="BJ61" s="26">
        <f t="shared" si="22"/>
        <v>-275078778.89200652</v>
      </c>
      <c r="BK61" s="26">
        <f t="shared" si="22"/>
        <v>-263118900.50942418</v>
      </c>
      <c r="BL61" s="26">
        <f t="shared" si="19"/>
        <v>-251159034.17309067</v>
      </c>
      <c r="BM61" s="26">
        <f t="shared" si="19"/>
        <v>-239199178.41855881</v>
      </c>
      <c r="BN61" s="26">
        <f t="shared" si="19"/>
        <v>-227239331.66544524</v>
      </c>
      <c r="BO61" s="26">
        <f t="shared" si="19"/>
        <v>-215279492.23474485</v>
      </c>
      <c r="BP61" s="26">
        <f t="shared" si="19"/>
        <v>-203319658.36722687</v>
      </c>
      <c r="BQ61" s="26">
        <f t="shared" si="19"/>
        <v>-191359828.24270901</v>
      </c>
      <c r="BR61" s="26">
        <f t="shared" si="19"/>
        <v>-179400000</v>
      </c>
      <c r="BS61" s="7"/>
      <c r="BT61" s="25"/>
      <c r="BU61" s="15">
        <v>2.6666666666666668E-2</v>
      </c>
      <c r="BV61" s="17">
        <v>0</v>
      </c>
      <c r="BW61" s="17">
        <f t="shared" si="28"/>
        <v>0.41095890410958902</v>
      </c>
      <c r="BX61" s="17">
        <f t="shared" si="28"/>
        <v>0.49446827726349057</v>
      </c>
      <c r="BY61" s="17">
        <f t="shared" si="28"/>
        <v>0.51576565211146774</v>
      </c>
      <c r="BZ61" s="17">
        <f t="shared" si="28"/>
        <v>0.52149397895713612</v>
      </c>
      <c r="CA61" s="17">
        <f t="shared" si="28"/>
        <v>0.52305649933975962</v>
      </c>
      <c r="CB61" s="17">
        <f t="shared" si="28"/>
        <v>0.52348433598989241</v>
      </c>
      <c r="CC61" s="17">
        <f t="shared" si="28"/>
        <v>0.52360160483419294</v>
      </c>
      <c r="CD61" s="17">
        <f t="shared" si="28"/>
        <v>0.52363375707534621</v>
      </c>
      <c r="CE61" s="17">
        <f t="shared" si="28"/>
        <v>0.52364257312109652</v>
      </c>
      <c r="CF61" s="17">
        <f t="shared" si="28"/>
        <v>0.5236449905056163</v>
      </c>
      <c r="CG61" s="17">
        <f t="shared" si="28"/>
        <v>0.52364565336314417</v>
      </c>
      <c r="CH61" s="17">
        <f t="shared" si="28"/>
        <v>0.52364583512190344</v>
      </c>
      <c r="CI61" s="17">
        <f t="shared" si="28"/>
        <v>0.52364588496106157</v>
      </c>
      <c r="CJ61" s="17">
        <f t="shared" si="28"/>
        <v>0.52364589862720901</v>
      </c>
      <c r="CK61" s="17">
        <f t="shared" si="28"/>
        <v>0.52364590237453534</v>
      </c>
      <c r="CL61" s="17">
        <f t="shared" si="28"/>
        <v>0.52364590340207107</v>
      </c>
      <c r="CM61" s="17">
        <f t="shared" si="28"/>
        <v>0.52364590368382657</v>
      </c>
      <c r="CN61" s="17">
        <f t="shared" si="28"/>
        <v>0.52364590376108522</v>
      </c>
      <c r="CO61" s="17">
        <f t="shared" si="28"/>
        <v>0.52364590378227005</v>
      </c>
      <c r="CP61" s="17">
        <f t="shared" si="28"/>
        <v>0.52364590378807896</v>
      </c>
      <c r="CQ61" s="17">
        <f t="shared" si="28"/>
        <v>0.5236459037896718</v>
      </c>
      <c r="CR61" s="17">
        <f t="shared" si="28"/>
        <v>0.52364590379010867</v>
      </c>
      <c r="CS61" s="17">
        <f t="shared" si="28"/>
        <v>0.52364590379022846</v>
      </c>
      <c r="CT61" s="17">
        <f t="shared" si="28"/>
        <v>0.52364590379026121</v>
      </c>
      <c r="CU61" s="17">
        <f t="shared" si="28"/>
        <v>0.52364590379027021</v>
      </c>
      <c r="CV61" s="17">
        <f t="shared" si="28"/>
        <v>0.52364590379027265</v>
      </c>
      <c r="CW61" s="17">
        <f t="shared" si="28"/>
        <v>0.52364590379027331</v>
      </c>
      <c r="CX61" s="17">
        <f t="shared" si="28"/>
        <v>0.52364590379027354</v>
      </c>
      <c r="CY61" s="17">
        <f t="shared" si="28"/>
        <v>0.52364590379027354</v>
      </c>
      <c r="CZ61" s="17">
        <f t="shared" si="16"/>
        <v>100</v>
      </c>
      <c r="DA61" s="7"/>
      <c r="DB61" s="25"/>
      <c r="DC61" s="15">
        <v>2.6666666666666668E-2</v>
      </c>
      <c r="DD61" s="17">
        <f t="shared" si="17"/>
        <v>300</v>
      </c>
      <c r="DE61" s="17">
        <f t="shared" si="18"/>
        <v>175.52509710568881</v>
      </c>
      <c r="DF61" s="17">
        <f t="shared" si="18"/>
        <v>148.2154997989025</v>
      </c>
      <c r="DG61" s="17">
        <f t="shared" si="18"/>
        <v>139.02396643839123</v>
      </c>
      <c r="DH61" s="17">
        <f t="shared" si="18"/>
        <v>134.26814186047949</v>
      </c>
      <c r="DI61" s="17">
        <f t="shared" si="18"/>
        <v>130.67180482218123</v>
      </c>
      <c r="DJ61" s="17">
        <f t="shared" si="18"/>
        <v>127.38375604367629</v>
      </c>
      <c r="DK61" s="17">
        <f t="shared" si="18"/>
        <v>124.17802065708148</v>
      </c>
      <c r="DL61" s="17">
        <f t="shared" si="18"/>
        <v>120.99427953367251</v>
      </c>
      <c r="DM61" s="17">
        <f t="shared" si="18"/>
        <v>117.81641533183303</v>
      </c>
      <c r="DN61" s="17">
        <f t="shared" si="18"/>
        <v>114.64012251584784</v>
      </c>
      <c r="DO61" s="17">
        <f t="shared" si="18"/>
        <v>111.46425172045421</v>
      </c>
      <c r="DP61" s="17">
        <f t="shared" si="18"/>
        <v>108.28849646419695</v>
      </c>
      <c r="DQ61" s="17">
        <f t="shared" si="18"/>
        <v>105.11277518997045</v>
      </c>
      <c r="DR61" s="17">
        <f t="shared" si="18"/>
        <v>101.93706629137684</v>
      </c>
      <c r="DS61" s="17">
        <f t="shared" si="18"/>
        <v>98.761364101356207</v>
      </c>
      <c r="DT61" s="17">
        <f t="shared" si="18"/>
        <v>95.585667159413191</v>
      </c>
      <c r="DU61" s="17">
        <f t="shared" si="24"/>
        <v>92.409975086136441</v>
      </c>
      <c r="DV61" s="17">
        <f t="shared" si="24"/>
        <v>89.234287751371568</v>
      </c>
      <c r="DW61" s="17">
        <f t="shared" si="24"/>
        <v>86.05860505338832</v>
      </c>
      <c r="DX61" s="17">
        <f t="shared" si="24"/>
        <v>82.882926860962286</v>
      </c>
      <c r="DY61" s="17">
        <f t="shared" si="24"/>
        <v>79.707252999149858</v>
      </c>
      <c r="DZ61" s="17">
        <f t="shared" si="24"/>
        <v>76.531583247053703</v>
      </c>
      <c r="EA61" s="17">
        <f t="shared" si="24"/>
        <v>73.35591733914417</v>
      </c>
      <c r="EB61" s="17">
        <f t="shared" si="24"/>
        <v>70.180254967878099</v>
      </c>
      <c r="EC61" s="17">
        <f t="shared" si="20"/>
        <v>67.00459578699153</v>
      </c>
      <c r="ED61" s="17">
        <f t="shared" si="20"/>
        <v>63.828939415273261</v>
      </c>
      <c r="EE61" s="17">
        <f t="shared" si="20"/>
        <v>60.65328544073612</v>
      </c>
      <c r="EF61" s="17">
        <f t="shared" si="20"/>
        <v>57.477633425129454</v>
      </c>
      <c r="EG61" s="17">
        <f t="shared" si="20"/>
        <v>54.30198290874025</v>
      </c>
      <c r="EH61" s="17">
        <f t="shared" si="20"/>
        <v>51.126333415429805</v>
      </c>
    </row>
    <row r="62" spans="5:138" ht="15.6" x14ac:dyDescent="0.3">
      <c r="E62" s="25"/>
      <c r="F62" s="15">
        <v>2.3333333333333334E-2</v>
      </c>
      <c r="G62" s="7">
        <f t="shared" si="10"/>
        <v>300</v>
      </c>
      <c r="H62" s="7">
        <f t="shared" si="11"/>
        <v>293.33323995443419</v>
      </c>
      <c r="I62" s="7">
        <f t="shared" si="11"/>
        <v>286.66648093194715</v>
      </c>
      <c r="J62" s="7">
        <f t="shared" si="11"/>
        <v>279.99972394440852</v>
      </c>
      <c r="K62" s="7">
        <f t="shared" si="11"/>
        <v>273.33296998139275</v>
      </c>
      <c r="L62" s="7">
        <f t="shared" si="11"/>
        <v>266.66621999933693</v>
      </c>
      <c r="M62" s="7">
        <f t="shared" si="11"/>
        <v>259.99947491106184</v>
      </c>
      <c r="N62" s="7">
        <f t="shared" si="11"/>
        <v>253.33273557577107</v>
      </c>
      <c r="O62" s="7">
        <f t="shared" si="11"/>
        <v>246.66600278963722</v>
      </c>
      <c r="P62" s="7">
        <f t="shared" si="11"/>
        <v>239.99927727707905</v>
      </c>
      <c r="Q62" s="7">
        <f t="shared" si="11"/>
        <v>233.33255968282441</v>
      </c>
      <c r="R62" s="7">
        <f t="shared" si="11"/>
        <v>226.66585056484666</v>
      </c>
      <c r="S62" s="7">
        <f t="shared" si="11"/>
        <v>219.99915038825122</v>
      </c>
      <c r="T62" s="7">
        <f t="shared" si="11"/>
        <v>213.3324595201799</v>
      </c>
      <c r="U62" s="7">
        <f t="shared" si="11"/>
        <v>206.66577822578836</v>
      </c>
      <c r="V62" s="7">
        <f t="shared" si="11"/>
        <v>199.99910666534095</v>
      </c>
      <c r="W62" s="7">
        <f t="shared" si="11"/>
        <v>193.33244489245504</v>
      </c>
      <c r="X62" s="7">
        <f t="shared" si="25"/>
        <v>186.66579285351332</v>
      </c>
      <c r="Y62" s="7">
        <f t="shared" si="25"/>
        <v>179.99915038825134</v>
      </c>
      <c r="Z62" s="7">
        <f t="shared" si="25"/>
        <v>173.33251723151349</v>
      </c>
      <c r="AA62" s="7">
        <f t="shared" si="25"/>
        <v>166.66589301615795</v>
      </c>
      <c r="AB62" s="7">
        <f t="shared" si="21"/>
        <v>159.9992772770793</v>
      </c>
      <c r="AC62" s="7">
        <f t="shared" si="21"/>
        <v>153.33266945630422</v>
      </c>
      <c r="AD62" s="7">
        <f t="shared" si="21"/>
        <v>146.66606890910475</v>
      </c>
      <c r="AE62" s="7">
        <f t="shared" si="21"/>
        <v>139.99947491106221</v>
      </c>
      <c r="AF62" s="7">
        <f t="shared" si="21"/>
        <v>133.33288666600396</v>
      </c>
      <c r="AG62" s="7">
        <f t="shared" si="21"/>
        <v>126.66630331472641</v>
      </c>
      <c r="AH62" s="7">
        <f t="shared" si="21"/>
        <v>119.99972394440877</v>
      </c>
      <c r="AI62" s="7">
        <f t="shared" si="21"/>
        <v>113.33314759861398</v>
      </c>
      <c r="AJ62" s="7">
        <f t="shared" si="21"/>
        <v>106.6665732877676</v>
      </c>
      <c r="AK62" s="7">
        <f t="shared" si="13"/>
        <v>100</v>
      </c>
      <c r="AL62" s="25"/>
      <c r="AM62" s="15">
        <v>2.3333333333333334E-2</v>
      </c>
      <c r="AN62" s="26">
        <f t="shared" si="14"/>
        <v>-538200000</v>
      </c>
      <c r="AO62" s="26">
        <f t="shared" si="14"/>
        <v>-526239828.24270886</v>
      </c>
      <c r="AP62" s="26">
        <f t="shared" si="14"/>
        <v>-514279658.36722654</v>
      </c>
      <c r="AQ62" s="26">
        <f t="shared" si="14"/>
        <v>-502319492.23474425</v>
      </c>
      <c r="AR62" s="26">
        <f t="shared" si="14"/>
        <v>-490359331.66544473</v>
      </c>
      <c r="AS62" s="26">
        <f t="shared" si="14"/>
        <v>-478399178.41855824</v>
      </c>
      <c r="AT62" s="26">
        <f t="shared" si="14"/>
        <v>-466439034.17308992</v>
      </c>
      <c r="AU62" s="26">
        <f t="shared" si="14"/>
        <v>-454478900.50942355</v>
      </c>
      <c r="AV62" s="26">
        <f t="shared" si="14"/>
        <v>-442518778.89200586</v>
      </c>
      <c r="AW62" s="26">
        <f t="shared" si="14"/>
        <v>-430558670.65330309</v>
      </c>
      <c r="AX62" s="26">
        <f t="shared" si="14"/>
        <v>-418598576.97920072</v>
      </c>
      <c r="AY62" s="26">
        <f t="shared" si="14"/>
        <v>-406638498.89601207</v>
      </c>
      <c r="AZ62" s="26">
        <f t="shared" si="14"/>
        <v>-394678437.25923288</v>
      </c>
      <c r="BA62" s="26">
        <f t="shared" si="14"/>
        <v>-382718392.74416846</v>
      </c>
      <c r="BB62" s="26">
        <f t="shared" si="14"/>
        <v>-370758365.83853531</v>
      </c>
      <c r="BC62" s="26">
        <f t="shared" si="14"/>
        <v>-358798356.8371172</v>
      </c>
      <c r="BD62" s="26">
        <f t="shared" si="22"/>
        <v>-346838365.83853543</v>
      </c>
      <c r="BE62" s="26">
        <f t="shared" si="22"/>
        <v>-334878392.7441687</v>
      </c>
      <c r="BF62" s="26">
        <f t="shared" si="22"/>
        <v>-322918437.25923306</v>
      </c>
      <c r="BG62" s="26">
        <f t="shared" si="22"/>
        <v>-310958498.89601249</v>
      </c>
      <c r="BH62" s="26">
        <f t="shared" si="22"/>
        <v>-298998576.97920102</v>
      </c>
      <c r="BI62" s="26">
        <f t="shared" si="22"/>
        <v>-287038670.6533035</v>
      </c>
      <c r="BJ62" s="26">
        <f t="shared" si="22"/>
        <v>-275078778.89200652</v>
      </c>
      <c r="BK62" s="26">
        <f t="shared" si="22"/>
        <v>-263118900.50942421</v>
      </c>
      <c r="BL62" s="26">
        <f t="shared" si="19"/>
        <v>-251159034.17309067</v>
      </c>
      <c r="BM62" s="26">
        <f t="shared" si="19"/>
        <v>-239199178.41855887</v>
      </c>
      <c r="BN62" s="26">
        <f t="shared" si="19"/>
        <v>-227239331.66544527</v>
      </c>
      <c r="BO62" s="26">
        <f t="shared" si="19"/>
        <v>-215279492.23474485</v>
      </c>
      <c r="BP62" s="26">
        <f t="shared" si="19"/>
        <v>-203319658.36722687</v>
      </c>
      <c r="BQ62" s="26">
        <f t="shared" si="19"/>
        <v>-191359828.24270904</v>
      </c>
      <c r="BR62" s="26">
        <f t="shared" si="19"/>
        <v>-179400000</v>
      </c>
      <c r="BS62" s="7"/>
      <c r="BT62" s="25"/>
      <c r="BU62" s="15">
        <v>2.3333333333333334E-2</v>
      </c>
      <c r="BV62" s="17">
        <v>0</v>
      </c>
      <c r="BW62" s="17">
        <f t="shared" si="28"/>
        <v>0.41095890410958902</v>
      </c>
      <c r="BX62" s="17">
        <f t="shared" si="28"/>
        <v>0.49446827726349057</v>
      </c>
      <c r="BY62" s="17">
        <f t="shared" si="28"/>
        <v>0.51576565211146774</v>
      </c>
      <c r="BZ62" s="17">
        <f t="shared" si="28"/>
        <v>0.52149397895713612</v>
      </c>
      <c r="CA62" s="17">
        <f t="shared" si="28"/>
        <v>0.52305649933975962</v>
      </c>
      <c r="CB62" s="17">
        <f t="shared" si="28"/>
        <v>0.52348433598989241</v>
      </c>
      <c r="CC62" s="17">
        <f t="shared" si="28"/>
        <v>0.52360160483419294</v>
      </c>
      <c r="CD62" s="17">
        <f t="shared" si="28"/>
        <v>0.52363375707534621</v>
      </c>
      <c r="CE62" s="17">
        <f t="shared" si="28"/>
        <v>0.52364257312109652</v>
      </c>
      <c r="CF62" s="17">
        <f t="shared" si="28"/>
        <v>0.5236449905056163</v>
      </c>
      <c r="CG62" s="17">
        <f t="shared" si="28"/>
        <v>0.52364565336314417</v>
      </c>
      <c r="CH62" s="17">
        <f t="shared" si="28"/>
        <v>0.52364583512190344</v>
      </c>
      <c r="CI62" s="17">
        <f t="shared" si="28"/>
        <v>0.52364588496106157</v>
      </c>
      <c r="CJ62" s="17">
        <f t="shared" si="28"/>
        <v>0.52364589862720901</v>
      </c>
      <c r="CK62" s="17">
        <f t="shared" si="28"/>
        <v>0.52364590237453534</v>
      </c>
      <c r="CL62" s="17">
        <f t="shared" si="28"/>
        <v>0.52364590340207107</v>
      </c>
      <c r="CM62" s="17">
        <f t="shared" si="28"/>
        <v>0.52364590368382657</v>
      </c>
      <c r="CN62" s="17">
        <f t="shared" si="28"/>
        <v>0.52364590376108522</v>
      </c>
      <c r="CO62" s="17">
        <f t="shared" si="28"/>
        <v>0.52364590378227005</v>
      </c>
      <c r="CP62" s="17">
        <f t="shared" si="28"/>
        <v>0.52364590378807896</v>
      </c>
      <c r="CQ62" s="17">
        <f t="shared" si="28"/>
        <v>0.5236459037896718</v>
      </c>
      <c r="CR62" s="17">
        <f t="shared" si="28"/>
        <v>0.52364590379010867</v>
      </c>
      <c r="CS62" s="17">
        <f t="shared" si="28"/>
        <v>0.52364590379022846</v>
      </c>
      <c r="CT62" s="17">
        <f t="shared" si="28"/>
        <v>0.52364590379026121</v>
      </c>
      <c r="CU62" s="17">
        <f t="shared" si="28"/>
        <v>0.52364590379027021</v>
      </c>
      <c r="CV62" s="17">
        <f t="shared" si="28"/>
        <v>0.52364590379027265</v>
      </c>
      <c r="CW62" s="17">
        <f t="shared" si="28"/>
        <v>0.52364590379027331</v>
      </c>
      <c r="CX62" s="17">
        <f t="shared" si="28"/>
        <v>0.52364590379027354</v>
      </c>
      <c r="CY62" s="17">
        <f t="shared" si="28"/>
        <v>0.52364590379027354</v>
      </c>
      <c r="CZ62" s="17">
        <f t="shared" si="16"/>
        <v>100</v>
      </c>
      <c r="DA62" s="7"/>
      <c r="DB62" s="25"/>
      <c r="DC62" s="15">
        <v>2.3333333333333334E-2</v>
      </c>
      <c r="DD62" s="17">
        <f t="shared" si="17"/>
        <v>300</v>
      </c>
      <c r="DE62" s="17">
        <f t="shared" si="18"/>
        <v>175.52509710568881</v>
      </c>
      <c r="DF62" s="17">
        <f t="shared" si="18"/>
        <v>148.2154997989025</v>
      </c>
      <c r="DG62" s="17">
        <f t="shared" si="18"/>
        <v>139.02396643839123</v>
      </c>
      <c r="DH62" s="17">
        <f t="shared" si="18"/>
        <v>134.26814186047952</v>
      </c>
      <c r="DI62" s="17">
        <f t="shared" si="18"/>
        <v>130.67180482218126</v>
      </c>
      <c r="DJ62" s="17">
        <f t="shared" si="18"/>
        <v>127.38375604367631</v>
      </c>
      <c r="DK62" s="17">
        <f t="shared" si="18"/>
        <v>124.1780206570815</v>
      </c>
      <c r="DL62" s="17">
        <f t="shared" si="18"/>
        <v>120.99427953367254</v>
      </c>
      <c r="DM62" s="17">
        <f t="shared" si="18"/>
        <v>117.81641533183306</v>
      </c>
      <c r="DN62" s="17">
        <f t="shared" si="18"/>
        <v>114.64012251584785</v>
      </c>
      <c r="DO62" s="17">
        <f t="shared" si="18"/>
        <v>111.46425172045424</v>
      </c>
      <c r="DP62" s="17">
        <f t="shared" si="18"/>
        <v>108.28849646419698</v>
      </c>
      <c r="DQ62" s="17">
        <f t="shared" si="18"/>
        <v>105.11277518997048</v>
      </c>
      <c r="DR62" s="17">
        <f t="shared" si="18"/>
        <v>101.93706629137685</v>
      </c>
      <c r="DS62" s="17">
        <f t="shared" si="18"/>
        <v>98.761364101356207</v>
      </c>
      <c r="DT62" s="17">
        <f t="shared" si="18"/>
        <v>95.585667159413205</v>
      </c>
      <c r="DU62" s="17">
        <f t="shared" si="24"/>
        <v>92.409975086136456</v>
      </c>
      <c r="DV62" s="17">
        <f t="shared" si="24"/>
        <v>89.234287751371568</v>
      </c>
      <c r="DW62" s="17">
        <f t="shared" si="24"/>
        <v>86.058605053388334</v>
      </c>
      <c r="DX62" s="17">
        <f t="shared" si="24"/>
        <v>82.8829268609623</v>
      </c>
      <c r="DY62" s="17">
        <f t="shared" si="24"/>
        <v>79.707252999149873</v>
      </c>
      <c r="DZ62" s="17">
        <f t="shared" si="24"/>
        <v>76.531583247053703</v>
      </c>
      <c r="EA62" s="17">
        <f t="shared" si="24"/>
        <v>73.35591733914417</v>
      </c>
      <c r="EB62" s="17">
        <f t="shared" si="24"/>
        <v>70.180254967878099</v>
      </c>
      <c r="EC62" s="17">
        <f t="shared" si="20"/>
        <v>67.00459578699153</v>
      </c>
      <c r="ED62" s="17">
        <f t="shared" si="20"/>
        <v>63.828939415273261</v>
      </c>
      <c r="EE62" s="17">
        <f t="shared" si="20"/>
        <v>60.65328544073612</v>
      </c>
      <c r="EF62" s="17">
        <f t="shared" si="20"/>
        <v>57.477633425129454</v>
      </c>
      <c r="EG62" s="17">
        <f t="shared" si="20"/>
        <v>54.30198290874025</v>
      </c>
      <c r="EH62" s="17">
        <f t="shared" si="20"/>
        <v>51.126333415429805</v>
      </c>
    </row>
    <row r="63" spans="5:138" ht="15.6" x14ac:dyDescent="0.3">
      <c r="E63" s="25"/>
      <c r="F63" s="15">
        <v>0.02</v>
      </c>
      <c r="G63" s="7">
        <f t="shared" si="10"/>
        <v>300</v>
      </c>
      <c r="H63" s="7">
        <f t="shared" si="11"/>
        <v>293.33323995443419</v>
      </c>
      <c r="I63" s="7">
        <f t="shared" si="11"/>
        <v>286.66648093194715</v>
      </c>
      <c r="J63" s="7">
        <f t="shared" si="11"/>
        <v>279.99972394440852</v>
      </c>
      <c r="K63" s="7">
        <f t="shared" si="11"/>
        <v>273.33296998139281</v>
      </c>
      <c r="L63" s="7">
        <f t="shared" si="11"/>
        <v>266.66621999933693</v>
      </c>
      <c r="M63" s="7">
        <f t="shared" si="11"/>
        <v>259.99947491106184</v>
      </c>
      <c r="N63" s="7">
        <f t="shared" si="11"/>
        <v>253.3327355757711</v>
      </c>
      <c r="O63" s="7">
        <f t="shared" si="11"/>
        <v>246.66600278963725</v>
      </c>
      <c r="P63" s="7">
        <f t="shared" si="11"/>
        <v>239.9992772770791</v>
      </c>
      <c r="Q63" s="7">
        <f t="shared" si="11"/>
        <v>233.33255968282444</v>
      </c>
      <c r="R63" s="7">
        <f t="shared" si="11"/>
        <v>226.66585056484666</v>
      </c>
      <c r="S63" s="7">
        <f t="shared" si="11"/>
        <v>219.99915038825125</v>
      </c>
      <c r="T63" s="7">
        <f t="shared" si="11"/>
        <v>213.33245952017992</v>
      </c>
      <c r="U63" s="7">
        <f t="shared" si="11"/>
        <v>206.66577822578839</v>
      </c>
      <c r="V63" s="7">
        <f t="shared" si="11"/>
        <v>199.999106665341</v>
      </c>
      <c r="W63" s="7">
        <f t="shared" si="11"/>
        <v>193.3324448924551</v>
      </c>
      <c r="X63" s="7">
        <f t="shared" si="25"/>
        <v>186.66579285351335</v>
      </c>
      <c r="Y63" s="7">
        <f t="shared" si="25"/>
        <v>179.99915038825137</v>
      </c>
      <c r="Z63" s="7">
        <f t="shared" si="25"/>
        <v>173.33251723151352</v>
      </c>
      <c r="AA63" s="7">
        <f t="shared" si="25"/>
        <v>166.66589301615795</v>
      </c>
      <c r="AB63" s="7">
        <f t="shared" si="21"/>
        <v>159.99927727707933</v>
      </c>
      <c r="AC63" s="7">
        <f t="shared" si="21"/>
        <v>153.33266945630427</v>
      </c>
      <c r="AD63" s="7">
        <f t="shared" si="21"/>
        <v>146.66606890910481</v>
      </c>
      <c r="AE63" s="7">
        <f t="shared" si="21"/>
        <v>139.99947491106224</v>
      </c>
      <c r="AF63" s="7">
        <f t="shared" si="21"/>
        <v>133.33288666600399</v>
      </c>
      <c r="AG63" s="7">
        <f t="shared" si="21"/>
        <v>126.66630331472643</v>
      </c>
      <c r="AH63" s="7">
        <f t="shared" si="21"/>
        <v>119.9997239444088</v>
      </c>
      <c r="AI63" s="7">
        <f t="shared" si="21"/>
        <v>113.33314759861399</v>
      </c>
      <c r="AJ63" s="7">
        <f t="shared" si="21"/>
        <v>106.66657328776762</v>
      </c>
      <c r="AK63" s="7">
        <f t="shared" si="13"/>
        <v>100</v>
      </c>
      <c r="AL63" s="25"/>
      <c r="AM63" s="15">
        <v>0.02</v>
      </c>
      <c r="AN63" s="26">
        <f t="shared" ref="AN63:BC69" si="29">-($B$12*$B$11)/$B$8*G27</f>
        <v>-538200000</v>
      </c>
      <c r="AO63" s="26">
        <f t="shared" si="29"/>
        <v>-526239828.24270898</v>
      </c>
      <c r="AP63" s="26">
        <f t="shared" si="29"/>
        <v>-514279658.36722672</v>
      </c>
      <c r="AQ63" s="26">
        <f t="shared" si="29"/>
        <v>-502319492.23474449</v>
      </c>
      <c r="AR63" s="26">
        <f t="shared" si="29"/>
        <v>-490359331.66544479</v>
      </c>
      <c r="AS63" s="26">
        <f t="shared" si="29"/>
        <v>-478399178.4185583</v>
      </c>
      <c r="AT63" s="26">
        <f t="shared" si="29"/>
        <v>-466439034.17309004</v>
      </c>
      <c r="AU63" s="26">
        <f t="shared" si="29"/>
        <v>-454478900.50942367</v>
      </c>
      <c r="AV63" s="26">
        <f t="shared" si="29"/>
        <v>-442518778.89200598</v>
      </c>
      <c r="AW63" s="26">
        <f t="shared" si="29"/>
        <v>-430558670.65330321</v>
      </c>
      <c r="AX63" s="26">
        <f t="shared" si="29"/>
        <v>-418598576.97920078</v>
      </c>
      <c r="AY63" s="26">
        <f t="shared" si="29"/>
        <v>-406638498.89601213</v>
      </c>
      <c r="AZ63" s="26">
        <f t="shared" si="29"/>
        <v>-394678437.25923294</v>
      </c>
      <c r="BA63" s="26">
        <f t="shared" si="29"/>
        <v>-382718392.74416852</v>
      </c>
      <c r="BB63" s="26">
        <f t="shared" si="29"/>
        <v>-370758365.83853543</v>
      </c>
      <c r="BC63" s="26">
        <f t="shared" si="29"/>
        <v>-358798356.83711731</v>
      </c>
      <c r="BD63" s="26">
        <f t="shared" si="22"/>
        <v>-346838365.83853549</v>
      </c>
      <c r="BE63" s="26">
        <f t="shared" si="22"/>
        <v>-334878392.74416882</v>
      </c>
      <c r="BF63" s="26">
        <f t="shared" si="22"/>
        <v>-322918437.25923318</v>
      </c>
      <c r="BG63" s="26">
        <f t="shared" si="22"/>
        <v>-310958498.89601249</v>
      </c>
      <c r="BH63" s="26">
        <f t="shared" si="22"/>
        <v>-298998576.97920114</v>
      </c>
      <c r="BI63" s="26">
        <f t="shared" si="22"/>
        <v>-287038670.65330356</v>
      </c>
      <c r="BJ63" s="26">
        <f t="shared" si="22"/>
        <v>-275078778.89200664</v>
      </c>
      <c r="BK63" s="26">
        <f t="shared" si="22"/>
        <v>-263118900.50942427</v>
      </c>
      <c r="BL63" s="26">
        <f t="shared" si="19"/>
        <v>-251159034.17309076</v>
      </c>
      <c r="BM63" s="26">
        <f t="shared" si="19"/>
        <v>-239199178.41855887</v>
      </c>
      <c r="BN63" s="26">
        <f t="shared" si="19"/>
        <v>-227239331.6654453</v>
      </c>
      <c r="BO63" s="26">
        <f t="shared" si="19"/>
        <v>-215279492.23474488</v>
      </c>
      <c r="BP63" s="26">
        <f t="shared" si="19"/>
        <v>-203319658.36722693</v>
      </c>
      <c r="BQ63" s="26">
        <f t="shared" si="19"/>
        <v>-191359828.2427091</v>
      </c>
      <c r="BR63" s="26">
        <f t="shared" si="19"/>
        <v>-179400000</v>
      </c>
      <c r="BS63" s="7"/>
      <c r="BT63" s="25"/>
      <c r="BU63" s="15">
        <v>0.02</v>
      </c>
      <c r="BV63" s="17">
        <v>0</v>
      </c>
      <c r="BW63" s="17">
        <f t="shared" si="28"/>
        <v>0.41095890410958902</v>
      </c>
      <c r="BX63" s="17">
        <f t="shared" si="28"/>
        <v>0.49446827726349057</v>
      </c>
      <c r="BY63" s="17">
        <f t="shared" si="28"/>
        <v>0.51576565211146774</v>
      </c>
      <c r="BZ63" s="17">
        <f t="shared" si="28"/>
        <v>0.52149397895713612</v>
      </c>
      <c r="CA63" s="17">
        <f t="shared" si="28"/>
        <v>0.52305649933975962</v>
      </c>
      <c r="CB63" s="17">
        <f t="shared" si="28"/>
        <v>0.52348433598989241</v>
      </c>
      <c r="CC63" s="17">
        <f t="shared" si="28"/>
        <v>0.52360160483419294</v>
      </c>
      <c r="CD63" s="17">
        <f t="shared" si="28"/>
        <v>0.52363375707534621</v>
      </c>
      <c r="CE63" s="17">
        <f t="shared" si="28"/>
        <v>0.52364257312109652</v>
      </c>
      <c r="CF63" s="17">
        <f t="shared" si="28"/>
        <v>0.5236449905056163</v>
      </c>
      <c r="CG63" s="17">
        <f t="shared" si="28"/>
        <v>0.52364565336314417</v>
      </c>
      <c r="CH63" s="17">
        <f t="shared" si="28"/>
        <v>0.52364583512190344</v>
      </c>
      <c r="CI63" s="17">
        <f t="shared" si="28"/>
        <v>0.52364588496106157</v>
      </c>
      <c r="CJ63" s="17">
        <f t="shared" si="28"/>
        <v>0.52364589862720901</v>
      </c>
      <c r="CK63" s="17">
        <f t="shared" si="28"/>
        <v>0.52364590237453534</v>
      </c>
      <c r="CL63" s="17">
        <f t="shared" si="28"/>
        <v>0.52364590340207107</v>
      </c>
      <c r="CM63" s="17">
        <f t="shared" si="28"/>
        <v>0.52364590368382657</v>
      </c>
      <c r="CN63" s="17">
        <f t="shared" si="28"/>
        <v>0.52364590376108522</v>
      </c>
      <c r="CO63" s="17">
        <f t="shared" si="28"/>
        <v>0.52364590378227005</v>
      </c>
      <c r="CP63" s="17">
        <f t="shared" si="28"/>
        <v>0.52364590378807896</v>
      </c>
      <c r="CQ63" s="17">
        <f t="shared" si="28"/>
        <v>0.5236459037896718</v>
      </c>
      <c r="CR63" s="17">
        <f t="shared" si="28"/>
        <v>0.52364590379010867</v>
      </c>
      <c r="CS63" s="17">
        <f t="shared" si="28"/>
        <v>0.52364590379022846</v>
      </c>
      <c r="CT63" s="17">
        <f t="shared" si="28"/>
        <v>0.52364590379026121</v>
      </c>
      <c r="CU63" s="17">
        <f t="shared" si="28"/>
        <v>0.52364590379027021</v>
      </c>
      <c r="CV63" s="17">
        <f t="shared" si="28"/>
        <v>0.52364590379027265</v>
      </c>
      <c r="CW63" s="17">
        <f t="shared" si="28"/>
        <v>0.52364590379027331</v>
      </c>
      <c r="CX63" s="17">
        <f t="shared" si="28"/>
        <v>0.52364590379027354</v>
      </c>
      <c r="CY63" s="17">
        <f t="shared" si="28"/>
        <v>0.52364590379027354</v>
      </c>
      <c r="CZ63" s="17">
        <f t="shared" si="16"/>
        <v>100</v>
      </c>
      <c r="DA63" s="7"/>
      <c r="DB63" s="25"/>
      <c r="DC63" s="15">
        <v>0.02</v>
      </c>
      <c r="DD63" s="17">
        <f t="shared" si="17"/>
        <v>300</v>
      </c>
      <c r="DE63" s="17">
        <f t="shared" si="18"/>
        <v>175.52509710568881</v>
      </c>
      <c r="DF63" s="17">
        <f t="shared" si="18"/>
        <v>148.21549979890253</v>
      </c>
      <c r="DG63" s="17">
        <f t="shared" si="18"/>
        <v>139.02396643839126</v>
      </c>
      <c r="DH63" s="17">
        <f t="shared" si="18"/>
        <v>134.26814186047955</v>
      </c>
      <c r="DI63" s="17">
        <f t="shared" si="18"/>
        <v>130.67180482218126</v>
      </c>
      <c r="DJ63" s="17">
        <f t="shared" si="18"/>
        <v>127.38375604367631</v>
      </c>
      <c r="DK63" s="17">
        <f t="shared" si="18"/>
        <v>124.17802065708152</v>
      </c>
      <c r="DL63" s="17">
        <f t="shared" ref="DL63:DT69" si="30">(DK63*$B$22-AV63)/($B$21-$B$22*CC63)</f>
        <v>120.99427953367255</v>
      </c>
      <c r="DM63" s="17">
        <f t="shared" si="30"/>
        <v>117.81641533183307</v>
      </c>
      <c r="DN63" s="17">
        <f t="shared" si="30"/>
        <v>114.64012251584786</v>
      </c>
      <c r="DO63" s="17">
        <f t="shared" si="30"/>
        <v>111.46425172045424</v>
      </c>
      <c r="DP63" s="17">
        <f t="shared" si="30"/>
        <v>108.28849646419698</v>
      </c>
      <c r="DQ63" s="17">
        <f t="shared" si="30"/>
        <v>105.11277518997048</v>
      </c>
      <c r="DR63" s="17">
        <f t="shared" si="30"/>
        <v>101.93706629137687</v>
      </c>
      <c r="DS63" s="17">
        <f t="shared" si="30"/>
        <v>98.761364101356236</v>
      </c>
      <c r="DT63" s="17">
        <f t="shared" si="30"/>
        <v>95.585667159413219</v>
      </c>
      <c r="DU63" s="17">
        <f t="shared" si="24"/>
        <v>92.40997508613647</v>
      </c>
      <c r="DV63" s="17">
        <f t="shared" si="24"/>
        <v>89.234287751371596</v>
      </c>
      <c r="DW63" s="17">
        <f t="shared" si="24"/>
        <v>86.058605053388348</v>
      </c>
      <c r="DX63" s="17">
        <f t="shared" si="24"/>
        <v>82.882926860962314</v>
      </c>
      <c r="DY63" s="17">
        <f t="shared" si="24"/>
        <v>79.707252999149887</v>
      </c>
      <c r="DZ63" s="17">
        <f t="shared" si="24"/>
        <v>76.531583247053732</v>
      </c>
      <c r="EA63" s="17">
        <f t="shared" si="24"/>
        <v>73.355917339144199</v>
      </c>
      <c r="EB63" s="17">
        <f t="shared" si="24"/>
        <v>70.180254967878113</v>
      </c>
      <c r="EC63" s="17">
        <f t="shared" si="20"/>
        <v>67.004595786991558</v>
      </c>
      <c r="ED63" s="17">
        <f t="shared" si="20"/>
        <v>63.828939415273275</v>
      </c>
      <c r="EE63" s="17">
        <f t="shared" si="20"/>
        <v>60.653285440736134</v>
      </c>
      <c r="EF63" s="17">
        <f t="shared" si="20"/>
        <v>57.477633425129468</v>
      </c>
      <c r="EG63" s="17">
        <f t="shared" si="20"/>
        <v>54.301982908740264</v>
      </c>
      <c r="EH63" s="17">
        <f t="shared" si="20"/>
        <v>51.126333415429812</v>
      </c>
    </row>
    <row r="64" spans="5:138" ht="15.6" x14ac:dyDescent="0.3">
      <c r="E64" s="25"/>
      <c r="F64" s="15">
        <v>1.6666666666666666E-2</v>
      </c>
      <c r="G64" s="7">
        <f t="shared" si="10"/>
        <v>300</v>
      </c>
      <c r="H64" s="7">
        <f t="shared" si="11"/>
        <v>293.33323995443419</v>
      </c>
      <c r="I64" s="7">
        <f t="shared" si="11"/>
        <v>286.66648093194715</v>
      </c>
      <c r="J64" s="7">
        <f t="shared" si="11"/>
        <v>279.99972394440852</v>
      </c>
      <c r="K64" s="7">
        <f t="shared" si="11"/>
        <v>273.33296998139281</v>
      </c>
      <c r="L64" s="7">
        <f t="shared" si="11"/>
        <v>266.66621999933693</v>
      </c>
      <c r="M64" s="7">
        <f t="shared" si="11"/>
        <v>259.99947491106184</v>
      </c>
      <c r="N64" s="7">
        <f t="shared" ref="N64:W69" si="31">CC64*O64+DK64</f>
        <v>253.3327355757711</v>
      </c>
      <c r="O64" s="7">
        <f t="shared" si="31"/>
        <v>246.66600278963725</v>
      </c>
      <c r="P64" s="7">
        <f t="shared" si="31"/>
        <v>239.9992772770791</v>
      </c>
      <c r="Q64" s="7">
        <f t="shared" si="31"/>
        <v>233.33255968282444</v>
      </c>
      <c r="R64" s="7">
        <f t="shared" si="31"/>
        <v>226.66585056484666</v>
      </c>
      <c r="S64" s="7">
        <f t="shared" si="31"/>
        <v>219.99915038825125</v>
      </c>
      <c r="T64" s="7">
        <f t="shared" si="31"/>
        <v>213.33245952017992</v>
      </c>
      <c r="U64" s="7">
        <f t="shared" si="31"/>
        <v>206.66577822578839</v>
      </c>
      <c r="V64" s="7">
        <f t="shared" si="31"/>
        <v>199.999106665341</v>
      </c>
      <c r="W64" s="7">
        <f t="shared" si="31"/>
        <v>193.3324448924551</v>
      </c>
      <c r="X64" s="7">
        <f t="shared" si="25"/>
        <v>186.66579285351335</v>
      </c>
      <c r="Y64" s="7">
        <f t="shared" si="25"/>
        <v>179.99915038825137</v>
      </c>
      <c r="Z64" s="7">
        <f t="shared" si="25"/>
        <v>173.33251723151352</v>
      </c>
      <c r="AA64" s="7">
        <f t="shared" si="25"/>
        <v>166.66589301615795</v>
      </c>
      <c r="AB64" s="7">
        <f t="shared" si="21"/>
        <v>159.99927727707933</v>
      </c>
      <c r="AC64" s="7">
        <f t="shared" si="21"/>
        <v>153.33266945630427</v>
      </c>
      <c r="AD64" s="7">
        <f t="shared" si="21"/>
        <v>146.66606890910481</v>
      </c>
      <c r="AE64" s="7">
        <f t="shared" si="21"/>
        <v>139.99947491106224</v>
      </c>
      <c r="AF64" s="7">
        <f t="shared" si="21"/>
        <v>133.33288666600399</v>
      </c>
      <c r="AG64" s="7">
        <f t="shared" si="21"/>
        <v>126.66630331472643</v>
      </c>
      <c r="AH64" s="7">
        <f t="shared" si="21"/>
        <v>119.9997239444088</v>
      </c>
      <c r="AI64" s="7">
        <f t="shared" si="21"/>
        <v>113.33314759861399</v>
      </c>
      <c r="AJ64" s="7">
        <f t="shared" si="21"/>
        <v>106.66657328776762</v>
      </c>
      <c r="AK64" s="7">
        <f t="shared" si="13"/>
        <v>100</v>
      </c>
      <c r="AL64" s="25"/>
      <c r="AM64" s="15">
        <v>1.6666666666666666E-2</v>
      </c>
      <c r="AN64" s="26">
        <f t="shared" si="29"/>
        <v>-538200000</v>
      </c>
      <c r="AO64" s="26">
        <f t="shared" si="29"/>
        <v>-526239828.2427091</v>
      </c>
      <c r="AP64" s="26">
        <f t="shared" si="29"/>
        <v>-514279658.36722672</v>
      </c>
      <c r="AQ64" s="26">
        <f t="shared" si="29"/>
        <v>-502319492.23474449</v>
      </c>
      <c r="AR64" s="26">
        <f t="shared" si="29"/>
        <v>-490359331.66544479</v>
      </c>
      <c r="AS64" s="26">
        <f t="shared" si="29"/>
        <v>-478399178.4185583</v>
      </c>
      <c r="AT64" s="26">
        <f t="shared" si="29"/>
        <v>-466439034.17309004</v>
      </c>
      <c r="AU64" s="26">
        <f t="shared" si="29"/>
        <v>-454478900.50942367</v>
      </c>
      <c r="AV64" s="26">
        <f t="shared" si="29"/>
        <v>-442518778.89200598</v>
      </c>
      <c r="AW64" s="26">
        <f t="shared" si="29"/>
        <v>-430558670.65330321</v>
      </c>
      <c r="AX64" s="26">
        <f t="shared" si="29"/>
        <v>-418598576.97920078</v>
      </c>
      <c r="AY64" s="26">
        <f t="shared" si="29"/>
        <v>-406638498.89601213</v>
      </c>
      <c r="AZ64" s="26">
        <f t="shared" si="29"/>
        <v>-394678437.25923294</v>
      </c>
      <c r="BA64" s="26">
        <f t="shared" si="29"/>
        <v>-382718392.74416852</v>
      </c>
      <c r="BB64" s="26">
        <f t="shared" si="29"/>
        <v>-370758365.83853543</v>
      </c>
      <c r="BC64" s="26">
        <f t="shared" si="29"/>
        <v>-358798356.83711737</v>
      </c>
      <c r="BD64" s="26">
        <f t="shared" si="22"/>
        <v>-346838365.83853549</v>
      </c>
      <c r="BE64" s="26">
        <f t="shared" si="22"/>
        <v>-334878392.74416882</v>
      </c>
      <c r="BF64" s="26">
        <f t="shared" si="22"/>
        <v>-322918437.25923318</v>
      </c>
      <c r="BG64" s="26">
        <f t="shared" si="22"/>
        <v>-310958498.89601249</v>
      </c>
      <c r="BH64" s="26">
        <f t="shared" si="22"/>
        <v>-298998576.97920114</v>
      </c>
      <c r="BI64" s="26">
        <f t="shared" si="22"/>
        <v>-287038670.65330356</v>
      </c>
      <c r="BJ64" s="26">
        <f t="shared" si="22"/>
        <v>-275078778.8920067</v>
      </c>
      <c r="BK64" s="26">
        <f t="shared" si="22"/>
        <v>-263118900.50942433</v>
      </c>
      <c r="BL64" s="26">
        <f t="shared" si="19"/>
        <v>-251159034.17309076</v>
      </c>
      <c r="BM64" s="26">
        <f t="shared" si="19"/>
        <v>-239199178.41855887</v>
      </c>
      <c r="BN64" s="26">
        <f t="shared" si="19"/>
        <v>-227239331.6654453</v>
      </c>
      <c r="BO64" s="26">
        <f t="shared" si="19"/>
        <v>-215279492.23474491</v>
      </c>
      <c r="BP64" s="26">
        <f t="shared" si="19"/>
        <v>-203319658.36722693</v>
      </c>
      <c r="BQ64" s="26">
        <f t="shared" si="19"/>
        <v>-191359828.2427091</v>
      </c>
      <c r="BR64" s="26">
        <f t="shared" si="19"/>
        <v>-179400000</v>
      </c>
      <c r="BS64" s="7"/>
      <c r="BT64" s="25"/>
      <c r="BU64" s="15">
        <v>1.6666666666666666E-2</v>
      </c>
      <c r="BV64" s="17">
        <v>0</v>
      </c>
      <c r="BW64" s="17">
        <f t="shared" si="28"/>
        <v>0.41095890410958902</v>
      </c>
      <c r="BX64" s="17">
        <f t="shared" si="28"/>
        <v>0.49446827726349057</v>
      </c>
      <c r="BY64" s="17">
        <f t="shared" si="28"/>
        <v>0.51576565211146774</v>
      </c>
      <c r="BZ64" s="17">
        <f t="shared" si="28"/>
        <v>0.52149397895713612</v>
      </c>
      <c r="CA64" s="17">
        <f t="shared" si="28"/>
        <v>0.52305649933975962</v>
      </c>
      <c r="CB64" s="17">
        <f t="shared" si="28"/>
        <v>0.52348433598989241</v>
      </c>
      <c r="CC64" s="17">
        <f t="shared" si="28"/>
        <v>0.52360160483419294</v>
      </c>
      <c r="CD64" s="17">
        <f t="shared" si="28"/>
        <v>0.52363375707534621</v>
      </c>
      <c r="CE64" s="17">
        <f t="shared" si="28"/>
        <v>0.52364257312109652</v>
      </c>
      <c r="CF64" s="17">
        <f t="shared" si="28"/>
        <v>0.5236449905056163</v>
      </c>
      <c r="CG64" s="17">
        <f t="shared" si="28"/>
        <v>0.52364565336314417</v>
      </c>
      <c r="CH64" s="17">
        <f t="shared" si="28"/>
        <v>0.52364583512190344</v>
      </c>
      <c r="CI64" s="17">
        <f t="shared" si="28"/>
        <v>0.52364588496106157</v>
      </c>
      <c r="CJ64" s="17">
        <f t="shared" si="28"/>
        <v>0.52364589862720901</v>
      </c>
      <c r="CK64" s="17">
        <f t="shared" si="28"/>
        <v>0.52364590237453534</v>
      </c>
      <c r="CL64" s="17">
        <f t="shared" si="28"/>
        <v>0.52364590340207107</v>
      </c>
      <c r="CM64" s="17">
        <f t="shared" si="28"/>
        <v>0.52364590368382657</v>
      </c>
      <c r="CN64" s="17">
        <f t="shared" si="28"/>
        <v>0.52364590376108522</v>
      </c>
      <c r="CO64" s="17">
        <f t="shared" si="28"/>
        <v>0.52364590378227005</v>
      </c>
      <c r="CP64" s="17">
        <f t="shared" si="28"/>
        <v>0.52364590378807896</v>
      </c>
      <c r="CQ64" s="17">
        <f t="shared" si="28"/>
        <v>0.5236459037896718</v>
      </c>
      <c r="CR64" s="17">
        <f t="shared" si="28"/>
        <v>0.52364590379010867</v>
      </c>
      <c r="CS64" s="17">
        <f t="shared" si="28"/>
        <v>0.52364590379022846</v>
      </c>
      <c r="CT64" s="17">
        <f t="shared" si="28"/>
        <v>0.52364590379026121</v>
      </c>
      <c r="CU64" s="17">
        <f t="shared" si="28"/>
        <v>0.52364590379027021</v>
      </c>
      <c r="CV64" s="17">
        <f t="shared" si="28"/>
        <v>0.52364590379027265</v>
      </c>
      <c r="CW64" s="17">
        <f t="shared" si="28"/>
        <v>0.52364590379027331</v>
      </c>
      <c r="CX64" s="17">
        <f t="shared" si="28"/>
        <v>0.52364590379027354</v>
      </c>
      <c r="CY64" s="17">
        <f t="shared" si="28"/>
        <v>0.52364590379027354</v>
      </c>
      <c r="CZ64" s="17">
        <f t="shared" si="16"/>
        <v>100</v>
      </c>
      <c r="DA64" s="7"/>
      <c r="DB64" s="25"/>
      <c r="DC64" s="15">
        <v>1.6666666666666666E-2</v>
      </c>
      <c r="DD64" s="17">
        <f t="shared" si="17"/>
        <v>300</v>
      </c>
      <c r="DE64" s="17">
        <f t="shared" ref="DE64:DK69" si="32">(DD64*$B$22-AO64)/($B$21-$B$22*BV64)</f>
        <v>175.52509710568881</v>
      </c>
      <c r="DF64" s="17">
        <f t="shared" si="32"/>
        <v>148.21549979890253</v>
      </c>
      <c r="DG64" s="17">
        <f t="shared" si="32"/>
        <v>139.02396643839126</v>
      </c>
      <c r="DH64" s="17">
        <f t="shared" si="32"/>
        <v>134.26814186047955</v>
      </c>
      <c r="DI64" s="17">
        <f t="shared" si="32"/>
        <v>130.67180482218126</v>
      </c>
      <c r="DJ64" s="17">
        <f t="shared" si="32"/>
        <v>127.38375604367631</v>
      </c>
      <c r="DK64" s="17">
        <f t="shared" si="32"/>
        <v>124.17802065708152</v>
      </c>
      <c r="DL64" s="17">
        <f t="shared" si="30"/>
        <v>120.99427953367255</v>
      </c>
      <c r="DM64" s="17">
        <f t="shared" si="30"/>
        <v>117.81641533183307</v>
      </c>
      <c r="DN64" s="17">
        <f t="shared" si="30"/>
        <v>114.64012251584786</v>
      </c>
      <c r="DO64" s="17">
        <f t="shared" si="30"/>
        <v>111.46425172045424</v>
      </c>
      <c r="DP64" s="17">
        <f t="shared" si="30"/>
        <v>108.28849646419698</v>
      </c>
      <c r="DQ64" s="17">
        <f t="shared" si="30"/>
        <v>105.11277518997048</v>
      </c>
      <c r="DR64" s="17">
        <f t="shared" si="30"/>
        <v>101.93706629137687</v>
      </c>
      <c r="DS64" s="17">
        <f t="shared" si="30"/>
        <v>98.761364101356236</v>
      </c>
      <c r="DT64" s="17">
        <f t="shared" si="30"/>
        <v>95.585667159413219</v>
      </c>
      <c r="DU64" s="17">
        <f t="shared" si="24"/>
        <v>92.40997508613647</v>
      </c>
      <c r="DV64" s="17">
        <f t="shared" si="24"/>
        <v>89.234287751371596</v>
      </c>
      <c r="DW64" s="17">
        <f t="shared" si="24"/>
        <v>86.058605053388348</v>
      </c>
      <c r="DX64" s="17">
        <f t="shared" si="24"/>
        <v>82.882926860962314</v>
      </c>
      <c r="DY64" s="17">
        <f t="shared" si="24"/>
        <v>79.707252999149887</v>
      </c>
      <c r="DZ64" s="17">
        <f t="shared" si="24"/>
        <v>76.531583247053732</v>
      </c>
      <c r="EA64" s="17">
        <f t="shared" si="24"/>
        <v>73.355917339144199</v>
      </c>
      <c r="EB64" s="17">
        <f t="shared" si="24"/>
        <v>70.180254967878113</v>
      </c>
      <c r="EC64" s="17">
        <f t="shared" si="20"/>
        <v>67.004595786991558</v>
      </c>
      <c r="ED64" s="17">
        <f t="shared" si="20"/>
        <v>63.828939415273275</v>
      </c>
      <c r="EE64" s="17">
        <f t="shared" si="20"/>
        <v>60.653285440736134</v>
      </c>
      <c r="EF64" s="17">
        <f t="shared" si="20"/>
        <v>57.477633425129468</v>
      </c>
      <c r="EG64" s="17">
        <f t="shared" si="20"/>
        <v>54.301982908740264</v>
      </c>
      <c r="EH64" s="17">
        <f t="shared" si="20"/>
        <v>51.126333415429812</v>
      </c>
    </row>
    <row r="65" spans="5:138" ht="15.6" x14ac:dyDescent="0.3">
      <c r="E65" s="25"/>
      <c r="F65" s="15">
        <v>1.3333333333333334E-2</v>
      </c>
      <c r="G65" s="7">
        <f t="shared" si="10"/>
        <v>300</v>
      </c>
      <c r="H65" s="7">
        <f t="shared" ref="H65:M69" si="33">BW65*I65+DE65</f>
        <v>293.33323995443419</v>
      </c>
      <c r="I65" s="7">
        <f t="shared" si="33"/>
        <v>286.66648093194715</v>
      </c>
      <c r="J65" s="7">
        <f t="shared" si="33"/>
        <v>279.99972394440852</v>
      </c>
      <c r="K65" s="7">
        <f t="shared" si="33"/>
        <v>273.33296998139281</v>
      </c>
      <c r="L65" s="7">
        <f t="shared" si="33"/>
        <v>266.66621999933693</v>
      </c>
      <c r="M65" s="7">
        <f t="shared" si="33"/>
        <v>259.99947491106184</v>
      </c>
      <c r="N65" s="7">
        <f t="shared" si="31"/>
        <v>253.3327355757711</v>
      </c>
      <c r="O65" s="7">
        <f t="shared" si="31"/>
        <v>246.66600278963722</v>
      </c>
      <c r="P65" s="7">
        <f t="shared" si="31"/>
        <v>239.99927727707905</v>
      </c>
      <c r="Q65" s="7">
        <f t="shared" si="31"/>
        <v>233.33255968282441</v>
      </c>
      <c r="R65" s="7">
        <f t="shared" si="31"/>
        <v>226.66585056484666</v>
      </c>
      <c r="S65" s="7">
        <f t="shared" si="31"/>
        <v>219.99915038825125</v>
      </c>
      <c r="T65" s="7">
        <f t="shared" si="31"/>
        <v>213.33245952017992</v>
      </c>
      <c r="U65" s="7">
        <f t="shared" si="31"/>
        <v>206.66577822578839</v>
      </c>
      <c r="V65" s="7">
        <f t="shared" si="31"/>
        <v>199.999106665341</v>
      </c>
      <c r="W65" s="7">
        <f t="shared" si="31"/>
        <v>193.3324448924551</v>
      </c>
      <c r="X65" s="7">
        <f t="shared" si="25"/>
        <v>186.66579285351335</v>
      </c>
      <c r="Y65" s="7">
        <f t="shared" si="25"/>
        <v>179.99915038825137</v>
      </c>
      <c r="Z65" s="7">
        <f t="shared" si="25"/>
        <v>173.33251723151352</v>
      </c>
      <c r="AA65" s="7">
        <f t="shared" si="25"/>
        <v>166.66589301615795</v>
      </c>
      <c r="AB65" s="7">
        <f t="shared" si="21"/>
        <v>159.99927727707933</v>
      </c>
      <c r="AC65" s="7">
        <f t="shared" si="21"/>
        <v>153.33266945630427</v>
      </c>
      <c r="AD65" s="7">
        <f t="shared" si="21"/>
        <v>146.66606890910481</v>
      </c>
      <c r="AE65" s="7">
        <f t="shared" si="21"/>
        <v>139.99947491106224</v>
      </c>
      <c r="AF65" s="7">
        <f t="shared" si="21"/>
        <v>133.33288666600399</v>
      </c>
      <c r="AG65" s="7">
        <f t="shared" si="21"/>
        <v>126.66630331472643</v>
      </c>
      <c r="AH65" s="7">
        <f t="shared" si="21"/>
        <v>119.9997239444088</v>
      </c>
      <c r="AI65" s="7">
        <f t="shared" si="21"/>
        <v>113.33314759861399</v>
      </c>
      <c r="AJ65" s="7">
        <f t="shared" si="21"/>
        <v>106.66657328776762</v>
      </c>
      <c r="AK65" s="7">
        <f t="shared" si="13"/>
        <v>100</v>
      </c>
      <c r="AL65" s="25"/>
      <c r="AM65" s="15">
        <v>1.3333333333333334E-2</v>
      </c>
      <c r="AN65" s="26">
        <f t="shared" si="29"/>
        <v>-538200000</v>
      </c>
      <c r="AO65" s="26">
        <f t="shared" si="29"/>
        <v>-526239828.2427091</v>
      </c>
      <c r="AP65" s="26">
        <f t="shared" si="29"/>
        <v>-514279658.36722672</v>
      </c>
      <c r="AQ65" s="26">
        <f t="shared" si="29"/>
        <v>-502319492.23474449</v>
      </c>
      <c r="AR65" s="26">
        <f t="shared" si="29"/>
        <v>-490359331.66544479</v>
      </c>
      <c r="AS65" s="26">
        <f t="shared" si="29"/>
        <v>-478399178.41855824</v>
      </c>
      <c r="AT65" s="26">
        <f t="shared" si="29"/>
        <v>-466439034.17309004</v>
      </c>
      <c r="AU65" s="26">
        <f t="shared" si="29"/>
        <v>-454478900.50942367</v>
      </c>
      <c r="AV65" s="26">
        <f t="shared" si="29"/>
        <v>-442518778.89200598</v>
      </c>
      <c r="AW65" s="26">
        <f t="shared" si="29"/>
        <v>-430558670.65330309</v>
      </c>
      <c r="AX65" s="26">
        <f t="shared" si="29"/>
        <v>-418598576.97920072</v>
      </c>
      <c r="AY65" s="26">
        <f t="shared" si="29"/>
        <v>-406638498.89601213</v>
      </c>
      <c r="AZ65" s="26">
        <f t="shared" si="29"/>
        <v>-394678437.25923294</v>
      </c>
      <c r="BA65" s="26">
        <f t="shared" si="29"/>
        <v>-382718392.74416852</v>
      </c>
      <c r="BB65" s="26">
        <f t="shared" si="29"/>
        <v>-370758365.83853543</v>
      </c>
      <c r="BC65" s="26">
        <f t="shared" si="29"/>
        <v>-358798356.83711737</v>
      </c>
      <c r="BD65" s="26">
        <f t="shared" si="22"/>
        <v>-346838365.83853549</v>
      </c>
      <c r="BE65" s="26">
        <f t="shared" si="22"/>
        <v>-334878392.74416882</v>
      </c>
      <c r="BF65" s="26">
        <f t="shared" si="22"/>
        <v>-322918437.25923318</v>
      </c>
      <c r="BG65" s="26">
        <f t="shared" si="22"/>
        <v>-310958498.89601249</v>
      </c>
      <c r="BH65" s="26">
        <f t="shared" si="22"/>
        <v>-298998576.97920114</v>
      </c>
      <c r="BI65" s="26">
        <f t="shared" si="22"/>
        <v>-287038670.65330356</v>
      </c>
      <c r="BJ65" s="26">
        <f t="shared" si="22"/>
        <v>-275078778.8920067</v>
      </c>
      <c r="BK65" s="26">
        <f t="shared" si="22"/>
        <v>-263118900.50942427</v>
      </c>
      <c r="BL65" s="26">
        <f t="shared" si="19"/>
        <v>-251159034.17309076</v>
      </c>
      <c r="BM65" s="26">
        <f t="shared" si="19"/>
        <v>-239199178.41855887</v>
      </c>
      <c r="BN65" s="26">
        <f t="shared" si="19"/>
        <v>-227239331.6654453</v>
      </c>
      <c r="BO65" s="26">
        <f t="shared" si="19"/>
        <v>-215279492.23474488</v>
      </c>
      <c r="BP65" s="26">
        <f t="shared" si="19"/>
        <v>-203319658.36722693</v>
      </c>
      <c r="BQ65" s="26">
        <f t="shared" si="19"/>
        <v>-191359828.2427091</v>
      </c>
      <c r="BR65" s="26">
        <f t="shared" si="19"/>
        <v>-179400000</v>
      </c>
      <c r="BS65" s="7"/>
      <c r="BT65" s="25"/>
      <c r="BU65" s="15">
        <v>1.3333333333333334E-2</v>
      </c>
      <c r="BV65" s="17">
        <v>0</v>
      </c>
      <c r="BW65" s="17">
        <f t="shared" si="28"/>
        <v>0.41095890410958902</v>
      </c>
      <c r="BX65" s="17">
        <f t="shared" si="28"/>
        <v>0.49446827726349057</v>
      </c>
      <c r="BY65" s="17">
        <f t="shared" si="28"/>
        <v>0.51576565211146774</v>
      </c>
      <c r="BZ65" s="17">
        <f t="shared" si="28"/>
        <v>0.52149397895713612</v>
      </c>
      <c r="CA65" s="17">
        <f t="shared" si="28"/>
        <v>0.52305649933975962</v>
      </c>
      <c r="CB65" s="17">
        <f t="shared" si="28"/>
        <v>0.52348433598989241</v>
      </c>
      <c r="CC65" s="17">
        <f t="shared" si="28"/>
        <v>0.52360160483419294</v>
      </c>
      <c r="CD65" s="17">
        <f t="shared" si="28"/>
        <v>0.52363375707534621</v>
      </c>
      <c r="CE65" s="17">
        <f t="shared" si="28"/>
        <v>0.52364257312109652</v>
      </c>
      <c r="CF65" s="17">
        <f t="shared" si="28"/>
        <v>0.5236449905056163</v>
      </c>
      <c r="CG65" s="17">
        <f t="shared" si="28"/>
        <v>0.52364565336314417</v>
      </c>
      <c r="CH65" s="17">
        <f t="shared" si="28"/>
        <v>0.52364583512190344</v>
      </c>
      <c r="CI65" s="17">
        <f t="shared" si="28"/>
        <v>0.52364588496106157</v>
      </c>
      <c r="CJ65" s="17">
        <f t="shared" si="28"/>
        <v>0.52364589862720901</v>
      </c>
      <c r="CK65" s="17">
        <f t="shared" si="28"/>
        <v>0.52364590237453534</v>
      </c>
      <c r="CL65" s="17">
        <f t="shared" si="28"/>
        <v>0.52364590340207107</v>
      </c>
      <c r="CM65" s="17">
        <f t="shared" si="28"/>
        <v>0.52364590368382657</v>
      </c>
      <c r="CN65" s="17">
        <f t="shared" si="28"/>
        <v>0.52364590376108522</v>
      </c>
      <c r="CO65" s="17">
        <f t="shared" si="28"/>
        <v>0.52364590378227005</v>
      </c>
      <c r="CP65" s="17">
        <f t="shared" si="28"/>
        <v>0.52364590378807896</v>
      </c>
      <c r="CQ65" s="17">
        <f t="shared" si="28"/>
        <v>0.5236459037896718</v>
      </c>
      <c r="CR65" s="17">
        <f t="shared" si="28"/>
        <v>0.52364590379010867</v>
      </c>
      <c r="CS65" s="17">
        <f t="shared" si="28"/>
        <v>0.52364590379022846</v>
      </c>
      <c r="CT65" s="17">
        <f t="shared" si="28"/>
        <v>0.52364590379026121</v>
      </c>
      <c r="CU65" s="17">
        <f t="shared" si="28"/>
        <v>0.52364590379027021</v>
      </c>
      <c r="CV65" s="17">
        <f t="shared" si="28"/>
        <v>0.52364590379027265</v>
      </c>
      <c r="CW65" s="17">
        <f t="shared" si="28"/>
        <v>0.52364590379027331</v>
      </c>
      <c r="CX65" s="17">
        <f t="shared" si="28"/>
        <v>0.52364590379027354</v>
      </c>
      <c r="CY65" s="17">
        <f t="shared" si="28"/>
        <v>0.52364590379027354</v>
      </c>
      <c r="CZ65" s="17">
        <f t="shared" si="16"/>
        <v>100</v>
      </c>
      <c r="DA65" s="7"/>
      <c r="DB65" s="25"/>
      <c r="DC65" s="15">
        <v>1.3333333333333334E-2</v>
      </c>
      <c r="DD65" s="17">
        <f t="shared" si="17"/>
        <v>300</v>
      </c>
      <c r="DE65" s="17">
        <f t="shared" si="32"/>
        <v>175.52509710568881</v>
      </c>
      <c r="DF65" s="17">
        <f t="shared" si="32"/>
        <v>148.21549979890253</v>
      </c>
      <c r="DG65" s="17">
        <f t="shared" si="32"/>
        <v>139.02396643839126</v>
      </c>
      <c r="DH65" s="17">
        <f t="shared" si="32"/>
        <v>134.26814186047955</v>
      </c>
      <c r="DI65" s="17">
        <f t="shared" si="32"/>
        <v>130.67180482218126</v>
      </c>
      <c r="DJ65" s="17">
        <f t="shared" si="32"/>
        <v>127.38375604367631</v>
      </c>
      <c r="DK65" s="17">
        <f t="shared" si="32"/>
        <v>124.17802065708152</v>
      </c>
      <c r="DL65" s="17">
        <f t="shared" si="30"/>
        <v>120.99427953367255</v>
      </c>
      <c r="DM65" s="17">
        <f t="shared" si="30"/>
        <v>117.81641533183306</v>
      </c>
      <c r="DN65" s="17">
        <f t="shared" si="30"/>
        <v>114.64012251584785</v>
      </c>
      <c r="DO65" s="17">
        <f t="shared" si="30"/>
        <v>111.46425172045424</v>
      </c>
      <c r="DP65" s="17">
        <f t="shared" si="30"/>
        <v>108.28849646419698</v>
      </c>
      <c r="DQ65" s="17">
        <f t="shared" si="30"/>
        <v>105.11277518997048</v>
      </c>
      <c r="DR65" s="17">
        <f t="shared" si="30"/>
        <v>101.93706629137687</v>
      </c>
      <c r="DS65" s="17">
        <f t="shared" si="30"/>
        <v>98.761364101356236</v>
      </c>
      <c r="DT65" s="17">
        <f t="shared" si="30"/>
        <v>95.585667159413219</v>
      </c>
      <c r="DU65" s="17">
        <f t="shared" si="24"/>
        <v>92.40997508613647</v>
      </c>
      <c r="DV65" s="17">
        <f t="shared" si="24"/>
        <v>89.234287751371596</v>
      </c>
      <c r="DW65" s="17">
        <f t="shared" si="24"/>
        <v>86.058605053388348</v>
      </c>
      <c r="DX65" s="17">
        <f t="shared" si="24"/>
        <v>82.882926860962314</v>
      </c>
      <c r="DY65" s="17">
        <f t="shared" si="24"/>
        <v>79.707252999149887</v>
      </c>
      <c r="DZ65" s="17">
        <f t="shared" si="24"/>
        <v>76.531583247053732</v>
      </c>
      <c r="EA65" s="17">
        <f t="shared" si="24"/>
        <v>73.355917339144199</v>
      </c>
      <c r="EB65" s="17">
        <f t="shared" si="24"/>
        <v>70.180254967878113</v>
      </c>
      <c r="EC65" s="17">
        <f t="shared" si="20"/>
        <v>67.004595786991558</v>
      </c>
      <c r="ED65" s="17">
        <f t="shared" si="20"/>
        <v>63.828939415273275</v>
      </c>
      <c r="EE65" s="17">
        <f t="shared" si="20"/>
        <v>60.653285440736134</v>
      </c>
      <c r="EF65" s="17">
        <f t="shared" si="20"/>
        <v>57.477633425129468</v>
      </c>
      <c r="EG65" s="17">
        <f t="shared" si="20"/>
        <v>54.301982908740264</v>
      </c>
      <c r="EH65" s="17">
        <f t="shared" si="20"/>
        <v>51.126333415429812</v>
      </c>
    </row>
    <row r="66" spans="5:138" ht="15.6" x14ac:dyDescent="0.3">
      <c r="E66" s="25"/>
      <c r="F66" s="15">
        <v>0.01</v>
      </c>
      <c r="G66" s="7">
        <f t="shared" si="10"/>
        <v>300</v>
      </c>
      <c r="H66" s="7">
        <f t="shared" si="33"/>
        <v>293.33323995443419</v>
      </c>
      <c r="I66" s="7">
        <f t="shared" si="33"/>
        <v>286.66648093194715</v>
      </c>
      <c r="J66" s="7">
        <f t="shared" si="33"/>
        <v>279.99972394440852</v>
      </c>
      <c r="K66" s="7">
        <f t="shared" si="33"/>
        <v>273.33296998139281</v>
      </c>
      <c r="L66" s="7">
        <f t="shared" si="33"/>
        <v>266.66621999933693</v>
      </c>
      <c r="M66" s="7">
        <f t="shared" si="33"/>
        <v>259.99947491106184</v>
      </c>
      <c r="N66" s="7">
        <f t="shared" si="31"/>
        <v>253.33273557577107</v>
      </c>
      <c r="O66" s="7">
        <f t="shared" si="31"/>
        <v>246.66600278963722</v>
      </c>
      <c r="P66" s="7">
        <f t="shared" si="31"/>
        <v>239.99927727707905</v>
      </c>
      <c r="Q66" s="7">
        <f t="shared" si="31"/>
        <v>233.33255968282441</v>
      </c>
      <c r="R66" s="7">
        <f t="shared" si="31"/>
        <v>226.66585056484666</v>
      </c>
      <c r="S66" s="7">
        <f t="shared" si="31"/>
        <v>219.99915038825125</v>
      </c>
      <c r="T66" s="7">
        <f t="shared" si="31"/>
        <v>213.33245952017992</v>
      </c>
      <c r="U66" s="7">
        <f t="shared" si="31"/>
        <v>206.66577822578839</v>
      </c>
      <c r="V66" s="7">
        <f t="shared" si="31"/>
        <v>199.999106665341</v>
      </c>
      <c r="W66" s="7">
        <f t="shared" si="31"/>
        <v>193.3324448924551</v>
      </c>
      <c r="X66" s="7">
        <f t="shared" si="25"/>
        <v>186.66579285351335</v>
      </c>
      <c r="Y66" s="7">
        <f t="shared" si="25"/>
        <v>179.99915038825137</v>
      </c>
      <c r="Z66" s="7">
        <f t="shared" si="25"/>
        <v>173.33251723151352</v>
      </c>
      <c r="AA66" s="7">
        <f t="shared" si="25"/>
        <v>166.66589301615795</v>
      </c>
      <c r="AB66" s="7">
        <f t="shared" si="21"/>
        <v>159.99927727707933</v>
      </c>
      <c r="AC66" s="7">
        <f t="shared" si="21"/>
        <v>153.33266945630425</v>
      </c>
      <c r="AD66" s="7">
        <f t="shared" si="21"/>
        <v>146.66606890910478</v>
      </c>
      <c r="AE66" s="7">
        <f t="shared" si="21"/>
        <v>139.99947491106224</v>
      </c>
      <c r="AF66" s="7">
        <f t="shared" si="21"/>
        <v>133.33288666600399</v>
      </c>
      <c r="AG66" s="7">
        <f t="shared" si="21"/>
        <v>126.66630331472643</v>
      </c>
      <c r="AH66" s="7">
        <f t="shared" si="21"/>
        <v>119.9997239444088</v>
      </c>
      <c r="AI66" s="7">
        <f t="shared" si="21"/>
        <v>113.33314759861399</v>
      </c>
      <c r="AJ66" s="7">
        <f t="shared" si="21"/>
        <v>106.66657328776762</v>
      </c>
      <c r="AK66" s="7">
        <f t="shared" si="13"/>
        <v>100</v>
      </c>
      <c r="AL66" s="25"/>
      <c r="AM66" s="15">
        <v>0.01</v>
      </c>
      <c r="AN66" s="26">
        <f t="shared" si="29"/>
        <v>-538200000</v>
      </c>
      <c r="AO66" s="26">
        <f t="shared" si="29"/>
        <v>-526239828.2427091</v>
      </c>
      <c r="AP66" s="26">
        <f t="shared" si="29"/>
        <v>-514279658.36722672</v>
      </c>
      <c r="AQ66" s="26">
        <f t="shared" si="29"/>
        <v>-502319492.23474449</v>
      </c>
      <c r="AR66" s="26">
        <f t="shared" si="29"/>
        <v>-490359331.66544479</v>
      </c>
      <c r="AS66" s="26">
        <f t="shared" si="29"/>
        <v>-478399178.41855824</v>
      </c>
      <c r="AT66" s="26">
        <f t="shared" si="29"/>
        <v>-466439034.17308992</v>
      </c>
      <c r="AU66" s="26">
        <f t="shared" si="29"/>
        <v>-454478900.50942355</v>
      </c>
      <c r="AV66" s="26">
        <f t="shared" si="29"/>
        <v>-442518778.89200586</v>
      </c>
      <c r="AW66" s="26">
        <f t="shared" si="29"/>
        <v>-430558670.65330303</v>
      </c>
      <c r="AX66" s="26">
        <f t="shared" si="29"/>
        <v>-418598576.97920066</v>
      </c>
      <c r="AY66" s="26">
        <f t="shared" si="29"/>
        <v>-406638498.89601213</v>
      </c>
      <c r="AZ66" s="26">
        <f t="shared" si="29"/>
        <v>-394678437.25923294</v>
      </c>
      <c r="BA66" s="26">
        <f t="shared" si="29"/>
        <v>-382718392.74416852</v>
      </c>
      <c r="BB66" s="26">
        <f t="shared" si="29"/>
        <v>-370758365.83853543</v>
      </c>
      <c r="BC66" s="26">
        <f t="shared" si="29"/>
        <v>-358798356.83711737</v>
      </c>
      <c r="BD66" s="26">
        <f t="shared" si="22"/>
        <v>-346838365.83853549</v>
      </c>
      <c r="BE66" s="26">
        <f t="shared" si="22"/>
        <v>-334878392.74416882</v>
      </c>
      <c r="BF66" s="26">
        <f t="shared" si="22"/>
        <v>-322918437.25923318</v>
      </c>
      <c r="BG66" s="26">
        <f t="shared" si="22"/>
        <v>-310958498.89601249</v>
      </c>
      <c r="BH66" s="26">
        <f t="shared" si="22"/>
        <v>-298998576.97920114</v>
      </c>
      <c r="BI66" s="26">
        <f t="shared" si="22"/>
        <v>-287038670.65330356</v>
      </c>
      <c r="BJ66" s="26">
        <f t="shared" si="22"/>
        <v>-275078778.89200664</v>
      </c>
      <c r="BK66" s="26">
        <f t="shared" si="22"/>
        <v>-263118900.50942421</v>
      </c>
      <c r="BL66" s="26">
        <f t="shared" si="19"/>
        <v>-251159034.1730907</v>
      </c>
      <c r="BM66" s="26">
        <f t="shared" si="19"/>
        <v>-239199178.41855887</v>
      </c>
      <c r="BN66" s="26">
        <f t="shared" si="19"/>
        <v>-227239331.6654453</v>
      </c>
      <c r="BO66" s="26">
        <f t="shared" si="19"/>
        <v>-215279492.23474488</v>
      </c>
      <c r="BP66" s="26">
        <f t="shared" si="19"/>
        <v>-203319658.36722693</v>
      </c>
      <c r="BQ66" s="26">
        <f t="shared" si="19"/>
        <v>-191359828.2427091</v>
      </c>
      <c r="BR66" s="26">
        <f t="shared" si="19"/>
        <v>-179400000</v>
      </c>
      <c r="BS66" s="7"/>
      <c r="BT66" s="25"/>
      <c r="BU66" s="15">
        <v>0.01</v>
      </c>
      <c r="BV66" s="17">
        <v>0</v>
      </c>
      <c r="BW66" s="17">
        <f t="shared" si="28"/>
        <v>0.41095890410958902</v>
      </c>
      <c r="BX66" s="17">
        <f t="shared" si="28"/>
        <v>0.49446827726349057</v>
      </c>
      <c r="BY66" s="17">
        <f t="shared" si="28"/>
        <v>0.51576565211146774</v>
      </c>
      <c r="BZ66" s="17">
        <f t="shared" si="28"/>
        <v>0.52149397895713612</v>
      </c>
      <c r="CA66" s="17">
        <f t="shared" si="28"/>
        <v>0.52305649933975962</v>
      </c>
      <c r="CB66" s="17">
        <f t="shared" si="28"/>
        <v>0.52348433598989241</v>
      </c>
      <c r="CC66" s="17">
        <f t="shared" si="28"/>
        <v>0.52360160483419294</v>
      </c>
      <c r="CD66" s="17">
        <f t="shared" si="28"/>
        <v>0.52363375707534621</v>
      </c>
      <c r="CE66" s="17">
        <f t="shared" si="28"/>
        <v>0.52364257312109652</v>
      </c>
      <c r="CF66" s="17">
        <f t="shared" si="28"/>
        <v>0.5236449905056163</v>
      </c>
      <c r="CG66" s="17">
        <f t="shared" si="28"/>
        <v>0.52364565336314417</v>
      </c>
      <c r="CH66" s="17">
        <f t="shared" si="28"/>
        <v>0.52364583512190344</v>
      </c>
      <c r="CI66" s="17">
        <f t="shared" si="28"/>
        <v>0.52364588496106157</v>
      </c>
      <c r="CJ66" s="17">
        <f t="shared" si="28"/>
        <v>0.52364589862720901</v>
      </c>
      <c r="CK66" s="17">
        <f t="shared" si="28"/>
        <v>0.52364590237453534</v>
      </c>
      <c r="CL66" s="17">
        <f t="shared" si="28"/>
        <v>0.52364590340207107</v>
      </c>
      <c r="CM66" s="17">
        <f t="shared" si="28"/>
        <v>0.52364590368382657</v>
      </c>
      <c r="CN66" s="17">
        <f t="shared" si="28"/>
        <v>0.52364590376108522</v>
      </c>
      <c r="CO66" s="17">
        <f t="shared" si="28"/>
        <v>0.52364590378227005</v>
      </c>
      <c r="CP66" s="17">
        <f t="shared" si="28"/>
        <v>0.52364590378807896</v>
      </c>
      <c r="CQ66" s="17">
        <f t="shared" si="28"/>
        <v>0.5236459037896718</v>
      </c>
      <c r="CR66" s="17">
        <f t="shared" si="28"/>
        <v>0.52364590379010867</v>
      </c>
      <c r="CS66" s="17">
        <f t="shared" si="28"/>
        <v>0.52364590379022846</v>
      </c>
      <c r="CT66" s="17">
        <f t="shared" ref="CT66:CY66" si="34">$B$20/($B$21-$B$22*CS66)</f>
        <v>0.52364590379026121</v>
      </c>
      <c r="CU66" s="17">
        <f t="shared" si="34"/>
        <v>0.52364590379027021</v>
      </c>
      <c r="CV66" s="17">
        <f t="shared" si="34"/>
        <v>0.52364590379027265</v>
      </c>
      <c r="CW66" s="17">
        <f t="shared" si="34"/>
        <v>0.52364590379027331</v>
      </c>
      <c r="CX66" s="17">
        <f t="shared" si="34"/>
        <v>0.52364590379027354</v>
      </c>
      <c r="CY66" s="17">
        <f t="shared" si="34"/>
        <v>0.52364590379027354</v>
      </c>
      <c r="CZ66" s="17">
        <f t="shared" si="16"/>
        <v>100</v>
      </c>
      <c r="DA66" s="7"/>
      <c r="DB66" s="25"/>
      <c r="DC66" s="15">
        <v>0.01</v>
      </c>
      <c r="DD66" s="17">
        <f t="shared" si="17"/>
        <v>300</v>
      </c>
      <c r="DE66" s="17">
        <f t="shared" si="32"/>
        <v>175.52509710568881</v>
      </c>
      <c r="DF66" s="17">
        <f t="shared" si="32"/>
        <v>148.21549979890253</v>
      </c>
      <c r="DG66" s="17">
        <f t="shared" si="32"/>
        <v>139.02396643839126</v>
      </c>
      <c r="DH66" s="17">
        <f t="shared" si="32"/>
        <v>134.26814186047955</v>
      </c>
      <c r="DI66" s="17">
        <f t="shared" si="32"/>
        <v>130.67180482218126</v>
      </c>
      <c r="DJ66" s="17">
        <f t="shared" si="32"/>
        <v>127.38375604367631</v>
      </c>
      <c r="DK66" s="17">
        <f t="shared" si="32"/>
        <v>124.1780206570815</v>
      </c>
      <c r="DL66" s="17">
        <f t="shared" si="30"/>
        <v>120.99427953367254</v>
      </c>
      <c r="DM66" s="17">
        <f t="shared" si="30"/>
        <v>117.81641533183304</v>
      </c>
      <c r="DN66" s="17">
        <f t="shared" si="30"/>
        <v>114.64012251584784</v>
      </c>
      <c r="DO66" s="17">
        <f t="shared" si="30"/>
        <v>111.46425172045424</v>
      </c>
      <c r="DP66" s="17">
        <f t="shared" si="30"/>
        <v>108.28849646419698</v>
      </c>
      <c r="DQ66" s="17">
        <f t="shared" si="30"/>
        <v>105.11277518997048</v>
      </c>
      <c r="DR66" s="17">
        <f t="shared" si="30"/>
        <v>101.93706629137687</v>
      </c>
      <c r="DS66" s="17">
        <f t="shared" si="30"/>
        <v>98.761364101356236</v>
      </c>
      <c r="DT66" s="17">
        <f t="shared" si="30"/>
        <v>95.585667159413219</v>
      </c>
      <c r="DU66" s="17">
        <f t="shared" si="24"/>
        <v>92.40997508613647</v>
      </c>
      <c r="DV66" s="17">
        <f t="shared" si="24"/>
        <v>89.234287751371596</v>
      </c>
      <c r="DW66" s="17">
        <f t="shared" si="24"/>
        <v>86.058605053388348</v>
      </c>
      <c r="DX66" s="17">
        <f t="shared" si="24"/>
        <v>82.882926860962314</v>
      </c>
      <c r="DY66" s="17">
        <f t="shared" si="24"/>
        <v>79.707252999149887</v>
      </c>
      <c r="DZ66" s="17">
        <f t="shared" si="24"/>
        <v>76.531583247053732</v>
      </c>
      <c r="EA66" s="17">
        <f t="shared" si="24"/>
        <v>73.355917339144185</v>
      </c>
      <c r="EB66" s="17">
        <f t="shared" si="24"/>
        <v>70.180254967878113</v>
      </c>
      <c r="EC66" s="17">
        <f t="shared" si="20"/>
        <v>67.004595786991558</v>
      </c>
      <c r="ED66" s="17">
        <f t="shared" si="20"/>
        <v>63.828939415273275</v>
      </c>
      <c r="EE66" s="17">
        <f t="shared" si="20"/>
        <v>60.653285440736134</v>
      </c>
      <c r="EF66" s="17">
        <f t="shared" si="20"/>
        <v>57.477633425129468</v>
      </c>
      <c r="EG66" s="17">
        <f t="shared" si="20"/>
        <v>54.301982908740264</v>
      </c>
      <c r="EH66" s="17">
        <f t="shared" si="20"/>
        <v>51.126333415429812</v>
      </c>
    </row>
    <row r="67" spans="5:138" ht="15.6" x14ac:dyDescent="0.3">
      <c r="E67" s="25"/>
      <c r="F67" s="15">
        <v>6.6666666666666671E-3</v>
      </c>
      <c r="G67" s="7">
        <f t="shared" si="10"/>
        <v>300</v>
      </c>
      <c r="H67" s="7">
        <f t="shared" si="33"/>
        <v>293.33323995443419</v>
      </c>
      <c r="I67" s="7">
        <f t="shared" si="33"/>
        <v>286.66648093194715</v>
      </c>
      <c r="J67" s="7">
        <f t="shared" si="33"/>
        <v>279.99972394440852</v>
      </c>
      <c r="K67" s="7">
        <f t="shared" si="33"/>
        <v>273.33296998139281</v>
      </c>
      <c r="L67" s="7">
        <f t="shared" si="33"/>
        <v>266.66621999933693</v>
      </c>
      <c r="M67" s="7">
        <f t="shared" si="33"/>
        <v>259.99947491106184</v>
      </c>
      <c r="N67" s="7">
        <f t="shared" si="31"/>
        <v>253.33273557577107</v>
      </c>
      <c r="O67" s="7">
        <f t="shared" si="31"/>
        <v>246.66600278963722</v>
      </c>
      <c r="P67" s="7">
        <f t="shared" si="31"/>
        <v>239.99927727707905</v>
      </c>
      <c r="Q67" s="7">
        <f t="shared" si="31"/>
        <v>233.33255968282441</v>
      </c>
      <c r="R67" s="7">
        <f t="shared" si="31"/>
        <v>226.66585056484666</v>
      </c>
      <c r="S67" s="7">
        <f t="shared" si="31"/>
        <v>219.99915038825125</v>
      </c>
      <c r="T67" s="7">
        <f t="shared" si="31"/>
        <v>213.33245952017992</v>
      </c>
      <c r="U67" s="7">
        <f t="shared" si="31"/>
        <v>206.66577822578839</v>
      </c>
      <c r="V67" s="7">
        <f t="shared" si="31"/>
        <v>199.999106665341</v>
      </c>
      <c r="W67" s="7">
        <f t="shared" si="31"/>
        <v>193.3324448924551</v>
      </c>
      <c r="X67" s="7">
        <f t="shared" si="25"/>
        <v>186.66579285351335</v>
      </c>
      <c r="Y67" s="7">
        <f t="shared" si="25"/>
        <v>179.99915038825137</v>
      </c>
      <c r="Z67" s="7">
        <f t="shared" si="25"/>
        <v>173.33251723151352</v>
      </c>
      <c r="AA67" s="7">
        <f t="shared" si="25"/>
        <v>166.66589301615795</v>
      </c>
      <c r="AB67" s="7">
        <f t="shared" si="21"/>
        <v>159.99927727707933</v>
      </c>
      <c r="AC67" s="7">
        <f t="shared" si="21"/>
        <v>153.33266945630425</v>
      </c>
      <c r="AD67" s="7">
        <f t="shared" si="21"/>
        <v>146.66606890910478</v>
      </c>
      <c r="AE67" s="7">
        <f t="shared" si="21"/>
        <v>139.99947491106224</v>
      </c>
      <c r="AF67" s="7">
        <f t="shared" si="21"/>
        <v>133.33288666600399</v>
      </c>
      <c r="AG67" s="7">
        <f t="shared" si="21"/>
        <v>126.66630331472643</v>
      </c>
      <c r="AH67" s="7">
        <f t="shared" si="21"/>
        <v>119.9997239444088</v>
      </c>
      <c r="AI67" s="7">
        <f t="shared" si="21"/>
        <v>113.33314759861399</v>
      </c>
      <c r="AJ67" s="7">
        <f t="shared" si="21"/>
        <v>106.66657328776762</v>
      </c>
      <c r="AK67" s="7">
        <f t="shared" si="13"/>
        <v>100</v>
      </c>
      <c r="AL67" s="25"/>
      <c r="AM67" s="15">
        <v>6.6666666666666671E-3</v>
      </c>
      <c r="AN67" s="26">
        <f t="shared" si="29"/>
        <v>-538200000</v>
      </c>
      <c r="AO67" s="26">
        <f t="shared" si="29"/>
        <v>-526239828.24270898</v>
      </c>
      <c r="AP67" s="26">
        <f t="shared" si="29"/>
        <v>-514279658.36722672</v>
      </c>
      <c r="AQ67" s="26">
        <f t="shared" si="29"/>
        <v>-502319492.23474449</v>
      </c>
      <c r="AR67" s="26">
        <f t="shared" si="29"/>
        <v>-490359331.66544479</v>
      </c>
      <c r="AS67" s="26">
        <f t="shared" si="29"/>
        <v>-478399178.41855812</v>
      </c>
      <c r="AT67" s="26">
        <f t="shared" si="29"/>
        <v>-466439034.17308992</v>
      </c>
      <c r="AU67" s="26">
        <f t="shared" si="29"/>
        <v>-454478900.50942355</v>
      </c>
      <c r="AV67" s="26">
        <f t="shared" si="29"/>
        <v>-442518778.89200586</v>
      </c>
      <c r="AW67" s="26">
        <f t="shared" si="29"/>
        <v>-430558670.65330297</v>
      </c>
      <c r="AX67" s="26">
        <f t="shared" si="29"/>
        <v>-418598576.97920066</v>
      </c>
      <c r="AY67" s="26">
        <f t="shared" si="29"/>
        <v>-406638498.89601213</v>
      </c>
      <c r="AZ67" s="26">
        <f t="shared" si="29"/>
        <v>-394678437.25923294</v>
      </c>
      <c r="BA67" s="26">
        <f t="shared" si="29"/>
        <v>-382718392.74416852</v>
      </c>
      <c r="BB67" s="26">
        <f t="shared" si="29"/>
        <v>-370758365.83853543</v>
      </c>
      <c r="BC67" s="26">
        <f t="shared" si="29"/>
        <v>-358798356.83711737</v>
      </c>
      <c r="BD67" s="26">
        <f t="shared" si="22"/>
        <v>-346838365.83853549</v>
      </c>
      <c r="BE67" s="26">
        <f t="shared" si="22"/>
        <v>-334878392.74416882</v>
      </c>
      <c r="BF67" s="26">
        <f t="shared" si="22"/>
        <v>-322918437.25923318</v>
      </c>
      <c r="BG67" s="26">
        <f t="shared" si="22"/>
        <v>-310958498.89601249</v>
      </c>
      <c r="BH67" s="26">
        <f t="shared" si="22"/>
        <v>-298998576.97920114</v>
      </c>
      <c r="BI67" s="26">
        <f t="shared" si="22"/>
        <v>-287038670.65330356</v>
      </c>
      <c r="BJ67" s="26">
        <f t="shared" si="22"/>
        <v>-275078778.89200664</v>
      </c>
      <c r="BK67" s="26">
        <f t="shared" si="22"/>
        <v>-263118900.50942421</v>
      </c>
      <c r="BL67" s="26">
        <f t="shared" si="19"/>
        <v>-251159034.1730907</v>
      </c>
      <c r="BM67" s="26">
        <f t="shared" si="19"/>
        <v>-239199178.41855887</v>
      </c>
      <c r="BN67" s="26">
        <f t="shared" si="19"/>
        <v>-227239331.6654453</v>
      </c>
      <c r="BO67" s="26">
        <f t="shared" si="19"/>
        <v>-215279492.23474488</v>
      </c>
      <c r="BP67" s="26">
        <f t="shared" si="19"/>
        <v>-203319658.3672269</v>
      </c>
      <c r="BQ67" s="26">
        <f t="shared" si="19"/>
        <v>-191359828.2427091</v>
      </c>
      <c r="BR67" s="26">
        <f t="shared" si="19"/>
        <v>-179400000</v>
      </c>
      <c r="BS67" s="7"/>
      <c r="BT67" s="25"/>
      <c r="BU67" s="15">
        <v>6.6666666666666671E-3</v>
      </c>
      <c r="BV67" s="17">
        <v>0</v>
      </c>
      <c r="BW67" s="17">
        <f t="shared" ref="BW67:CY69" si="35">$B$20/($B$21-$B$22*BV67)</f>
        <v>0.41095890410958902</v>
      </c>
      <c r="BX67" s="17">
        <f t="shared" si="35"/>
        <v>0.49446827726349057</v>
      </c>
      <c r="BY67" s="17">
        <f t="shared" si="35"/>
        <v>0.51576565211146774</v>
      </c>
      <c r="BZ67" s="17">
        <f t="shared" si="35"/>
        <v>0.52149397895713612</v>
      </c>
      <c r="CA67" s="17">
        <f t="shared" si="35"/>
        <v>0.52305649933975962</v>
      </c>
      <c r="CB67" s="17">
        <f t="shared" si="35"/>
        <v>0.52348433598989241</v>
      </c>
      <c r="CC67" s="17">
        <f t="shared" si="35"/>
        <v>0.52360160483419294</v>
      </c>
      <c r="CD67" s="17">
        <f t="shared" si="35"/>
        <v>0.52363375707534621</v>
      </c>
      <c r="CE67" s="17">
        <f t="shared" si="35"/>
        <v>0.52364257312109652</v>
      </c>
      <c r="CF67" s="17">
        <f t="shared" si="35"/>
        <v>0.5236449905056163</v>
      </c>
      <c r="CG67" s="17">
        <f t="shared" si="35"/>
        <v>0.52364565336314417</v>
      </c>
      <c r="CH67" s="17">
        <f t="shared" si="35"/>
        <v>0.52364583512190344</v>
      </c>
      <c r="CI67" s="17">
        <f t="shared" si="35"/>
        <v>0.52364588496106157</v>
      </c>
      <c r="CJ67" s="17">
        <f t="shared" si="35"/>
        <v>0.52364589862720901</v>
      </c>
      <c r="CK67" s="17">
        <f t="shared" si="35"/>
        <v>0.52364590237453534</v>
      </c>
      <c r="CL67" s="17">
        <f t="shared" si="35"/>
        <v>0.52364590340207107</v>
      </c>
      <c r="CM67" s="17">
        <f t="shared" si="35"/>
        <v>0.52364590368382657</v>
      </c>
      <c r="CN67" s="17">
        <f t="shared" si="35"/>
        <v>0.52364590376108522</v>
      </c>
      <c r="CO67" s="17">
        <f t="shared" si="35"/>
        <v>0.52364590378227005</v>
      </c>
      <c r="CP67" s="17">
        <f t="shared" si="35"/>
        <v>0.52364590378807896</v>
      </c>
      <c r="CQ67" s="17">
        <f t="shared" si="35"/>
        <v>0.5236459037896718</v>
      </c>
      <c r="CR67" s="17">
        <f t="shared" si="35"/>
        <v>0.52364590379010867</v>
      </c>
      <c r="CS67" s="17">
        <f t="shared" si="35"/>
        <v>0.52364590379022846</v>
      </c>
      <c r="CT67" s="17">
        <f t="shared" si="35"/>
        <v>0.52364590379026121</v>
      </c>
      <c r="CU67" s="17">
        <f t="shared" si="35"/>
        <v>0.52364590379027021</v>
      </c>
      <c r="CV67" s="17">
        <f t="shared" si="35"/>
        <v>0.52364590379027265</v>
      </c>
      <c r="CW67" s="17">
        <f t="shared" si="35"/>
        <v>0.52364590379027331</v>
      </c>
      <c r="CX67" s="17">
        <f t="shared" si="35"/>
        <v>0.52364590379027354</v>
      </c>
      <c r="CY67" s="17">
        <f t="shared" si="35"/>
        <v>0.52364590379027354</v>
      </c>
      <c r="CZ67" s="17">
        <f t="shared" si="16"/>
        <v>100</v>
      </c>
      <c r="DA67" s="7"/>
      <c r="DB67" s="25"/>
      <c r="DC67" s="15">
        <v>6.6666666666666671E-3</v>
      </c>
      <c r="DD67" s="17">
        <f t="shared" si="17"/>
        <v>300</v>
      </c>
      <c r="DE67" s="17">
        <f t="shared" si="32"/>
        <v>175.52509710568881</v>
      </c>
      <c r="DF67" s="17">
        <f t="shared" si="32"/>
        <v>148.21549979890253</v>
      </c>
      <c r="DG67" s="17">
        <f t="shared" si="32"/>
        <v>139.02396643839126</v>
      </c>
      <c r="DH67" s="17">
        <f t="shared" si="32"/>
        <v>134.26814186047955</v>
      </c>
      <c r="DI67" s="17">
        <f t="shared" si="32"/>
        <v>130.67180482218126</v>
      </c>
      <c r="DJ67" s="17">
        <f t="shared" si="32"/>
        <v>127.38375604367631</v>
      </c>
      <c r="DK67" s="17">
        <f t="shared" si="32"/>
        <v>124.1780206570815</v>
      </c>
      <c r="DL67" s="17">
        <f t="shared" si="30"/>
        <v>120.99427953367254</v>
      </c>
      <c r="DM67" s="17">
        <f t="shared" si="30"/>
        <v>117.81641533183303</v>
      </c>
      <c r="DN67" s="17">
        <f t="shared" si="30"/>
        <v>114.64012251584784</v>
      </c>
      <c r="DO67" s="17">
        <f t="shared" si="30"/>
        <v>111.46425172045424</v>
      </c>
      <c r="DP67" s="17">
        <f t="shared" si="30"/>
        <v>108.28849646419698</v>
      </c>
      <c r="DQ67" s="17">
        <f t="shared" si="30"/>
        <v>105.11277518997048</v>
      </c>
      <c r="DR67" s="17">
        <f t="shared" si="30"/>
        <v>101.93706629137687</v>
      </c>
      <c r="DS67" s="17">
        <f t="shared" si="30"/>
        <v>98.761364101356236</v>
      </c>
      <c r="DT67" s="17">
        <f t="shared" si="30"/>
        <v>95.585667159413219</v>
      </c>
      <c r="DU67" s="17">
        <f t="shared" si="24"/>
        <v>92.40997508613647</v>
      </c>
      <c r="DV67" s="17">
        <f t="shared" si="24"/>
        <v>89.234287751371596</v>
      </c>
      <c r="DW67" s="17">
        <f t="shared" si="24"/>
        <v>86.058605053388348</v>
      </c>
      <c r="DX67" s="17">
        <f t="shared" si="24"/>
        <v>82.882926860962314</v>
      </c>
      <c r="DY67" s="17">
        <f t="shared" si="24"/>
        <v>79.707252999149887</v>
      </c>
      <c r="DZ67" s="17">
        <f t="shared" si="24"/>
        <v>76.531583247053732</v>
      </c>
      <c r="EA67" s="17">
        <f t="shared" si="24"/>
        <v>73.355917339144185</v>
      </c>
      <c r="EB67" s="17">
        <f t="shared" si="24"/>
        <v>70.180254967878113</v>
      </c>
      <c r="EC67" s="17">
        <f t="shared" si="20"/>
        <v>67.004595786991558</v>
      </c>
      <c r="ED67" s="17">
        <f t="shared" si="20"/>
        <v>63.828939415273275</v>
      </c>
      <c r="EE67" s="17">
        <f t="shared" si="20"/>
        <v>60.653285440736134</v>
      </c>
      <c r="EF67" s="17">
        <f t="shared" si="20"/>
        <v>57.477633425129468</v>
      </c>
      <c r="EG67" s="17">
        <f t="shared" si="20"/>
        <v>54.301982908740264</v>
      </c>
      <c r="EH67" s="17">
        <f t="shared" si="20"/>
        <v>51.126333415429812</v>
      </c>
    </row>
    <row r="68" spans="5:138" ht="15.6" x14ac:dyDescent="0.3">
      <c r="E68" s="25"/>
      <c r="F68" s="15">
        <v>3.3333333333333335E-3</v>
      </c>
      <c r="G68" s="7">
        <f t="shared" si="10"/>
        <v>300</v>
      </c>
      <c r="H68" s="7">
        <f t="shared" si="33"/>
        <v>293.33323995443419</v>
      </c>
      <c r="I68" s="7">
        <f t="shared" si="33"/>
        <v>286.66648093194715</v>
      </c>
      <c r="J68" s="7">
        <f t="shared" si="33"/>
        <v>279.99972394440852</v>
      </c>
      <c r="K68" s="7">
        <f t="shared" si="33"/>
        <v>273.33296998139281</v>
      </c>
      <c r="L68" s="7">
        <f t="shared" si="33"/>
        <v>266.66621999933693</v>
      </c>
      <c r="M68" s="7">
        <f t="shared" si="33"/>
        <v>259.99947491106178</v>
      </c>
      <c r="N68" s="7">
        <f t="shared" si="31"/>
        <v>253.33273557577101</v>
      </c>
      <c r="O68" s="7">
        <f t="shared" si="31"/>
        <v>246.66600278963716</v>
      </c>
      <c r="P68" s="7">
        <f t="shared" si="31"/>
        <v>239.99927727707905</v>
      </c>
      <c r="Q68" s="7">
        <f t="shared" si="31"/>
        <v>233.33255968282441</v>
      </c>
      <c r="R68" s="7">
        <f t="shared" si="31"/>
        <v>226.66585056484664</v>
      </c>
      <c r="S68" s="7">
        <f t="shared" si="31"/>
        <v>219.99915038825122</v>
      </c>
      <c r="T68" s="7">
        <f t="shared" si="31"/>
        <v>213.3324595201799</v>
      </c>
      <c r="U68" s="7">
        <f t="shared" si="31"/>
        <v>206.66577822578836</v>
      </c>
      <c r="V68" s="7">
        <f t="shared" si="31"/>
        <v>199.999106665341</v>
      </c>
      <c r="W68" s="7">
        <f t="shared" si="31"/>
        <v>193.3324448924551</v>
      </c>
      <c r="X68" s="7">
        <f t="shared" si="25"/>
        <v>186.66579285351335</v>
      </c>
      <c r="Y68" s="7">
        <f t="shared" si="25"/>
        <v>179.99915038825137</v>
      </c>
      <c r="Z68" s="7">
        <f t="shared" si="25"/>
        <v>173.33251723151352</v>
      </c>
      <c r="AA68" s="7">
        <f t="shared" si="25"/>
        <v>166.66589301615795</v>
      </c>
      <c r="AB68" s="7">
        <f t="shared" si="21"/>
        <v>159.99927727707933</v>
      </c>
      <c r="AC68" s="7">
        <f t="shared" si="21"/>
        <v>153.33266945630425</v>
      </c>
      <c r="AD68" s="7">
        <f t="shared" si="21"/>
        <v>146.66606890910475</v>
      </c>
      <c r="AE68" s="7">
        <f t="shared" si="21"/>
        <v>139.99947491106221</v>
      </c>
      <c r="AF68" s="7">
        <f t="shared" si="21"/>
        <v>133.33288666600396</v>
      </c>
      <c r="AG68" s="7">
        <f t="shared" si="21"/>
        <v>126.66630331472642</v>
      </c>
      <c r="AH68" s="7">
        <f t="shared" si="21"/>
        <v>119.99972394440879</v>
      </c>
      <c r="AI68" s="7">
        <f t="shared" si="21"/>
        <v>113.33314759861398</v>
      </c>
      <c r="AJ68" s="7">
        <f t="shared" si="21"/>
        <v>106.6665732877676</v>
      </c>
      <c r="AK68" s="7">
        <f t="shared" si="13"/>
        <v>100</v>
      </c>
      <c r="AL68" s="25"/>
      <c r="AM68" s="15">
        <v>3.3333333333333335E-3</v>
      </c>
      <c r="AN68" s="26">
        <f t="shared" si="29"/>
        <v>-538200000</v>
      </c>
      <c r="AO68" s="26">
        <f t="shared" si="29"/>
        <v>-526239828.24270886</v>
      </c>
      <c r="AP68" s="26">
        <f t="shared" si="29"/>
        <v>-514279658.36722666</v>
      </c>
      <c r="AQ68" s="26">
        <f t="shared" si="29"/>
        <v>-502319492.23474437</v>
      </c>
      <c r="AR68" s="26">
        <f t="shared" si="29"/>
        <v>-490359331.66544479</v>
      </c>
      <c r="AS68" s="26">
        <f t="shared" si="29"/>
        <v>-478399178.41855812</v>
      </c>
      <c r="AT68" s="26">
        <f t="shared" si="29"/>
        <v>-466439034.17308986</v>
      </c>
      <c r="AU68" s="26">
        <f t="shared" si="29"/>
        <v>-454478900.50942343</v>
      </c>
      <c r="AV68" s="26">
        <f t="shared" si="29"/>
        <v>-442518778.8920058</v>
      </c>
      <c r="AW68" s="26">
        <f t="shared" si="29"/>
        <v>-430558670.65330291</v>
      </c>
      <c r="AX68" s="26">
        <f t="shared" si="29"/>
        <v>-418598576.97920066</v>
      </c>
      <c r="AY68" s="26">
        <f t="shared" si="29"/>
        <v>-406638498.89601201</v>
      </c>
      <c r="AZ68" s="26">
        <f t="shared" si="29"/>
        <v>-394678437.25923288</v>
      </c>
      <c r="BA68" s="26">
        <f t="shared" si="29"/>
        <v>-382718392.74416846</v>
      </c>
      <c r="BB68" s="26">
        <f t="shared" si="29"/>
        <v>-370758365.83853537</v>
      </c>
      <c r="BC68" s="26">
        <f t="shared" si="29"/>
        <v>-358798356.83711731</v>
      </c>
      <c r="BD68" s="26">
        <f t="shared" si="22"/>
        <v>-346838365.83853549</v>
      </c>
      <c r="BE68" s="26">
        <f t="shared" si="22"/>
        <v>-334878392.74416876</v>
      </c>
      <c r="BF68" s="26">
        <f t="shared" si="22"/>
        <v>-322918437.25923318</v>
      </c>
      <c r="BG68" s="26">
        <f t="shared" si="22"/>
        <v>-310958498.89601249</v>
      </c>
      <c r="BH68" s="26">
        <f t="shared" si="22"/>
        <v>-298998576.97920114</v>
      </c>
      <c r="BI68" s="26">
        <f t="shared" si="22"/>
        <v>-287038670.65330356</v>
      </c>
      <c r="BJ68" s="26">
        <f t="shared" si="22"/>
        <v>-275078778.89200664</v>
      </c>
      <c r="BK68" s="26">
        <f t="shared" si="22"/>
        <v>-263118900.50942421</v>
      </c>
      <c r="BL68" s="26">
        <f t="shared" si="19"/>
        <v>-251159034.17309067</v>
      </c>
      <c r="BM68" s="26">
        <f t="shared" si="19"/>
        <v>-239199178.41855887</v>
      </c>
      <c r="BN68" s="26">
        <f t="shared" si="19"/>
        <v>-227239331.66544527</v>
      </c>
      <c r="BO68" s="26">
        <f t="shared" si="19"/>
        <v>-215279492.23474488</v>
      </c>
      <c r="BP68" s="26">
        <f t="shared" si="19"/>
        <v>-203319658.36722687</v>
      </c>
      <c r="BQ68" s="26">
        <f t="shared" si="19"/>
        <v>-191359828.24270907</v>
      </c>
      <c r="BR68" s="26">
        <f t="shared" si="19"/>
        <v>-179400000</v>
      </c>
      <c r="BS68" s="7"/>
      <c r="BT68" s="25"/>
      <c r="BU68" s="15">
        <v>3.3333333333333335E-3</v>
      </c>
      <c r="BV68" s="17">
        <v>0</v>
      </c>
      <c r="BW68" s="17">
        <f t="shared" si="35"/>
        <v>0.41095890410958902</v>
      </c>
      <c r="BX68" s="17">
        <f t="shared" si="35"/>
        <v>0.49446827726349057</v>
      </c>
      <c r="BY68" s="17">
        <f t="shared" si="35"/>
        <v>0.51576565211146774</v>
      </c>
      <c r="BZ68" s="17">
        <f t="shared" si="35"/>
        <v>0.52149397895713612</v>
      </c>
      <c r="CA68" s="17">
        <f t="shared" si="35"/>
        <v>0.52305649933975962</v>
      </c>
      <c r="CB68" s="17">
        <f t="shared" si="35"/>
        <v>0.52348433598989241</v>
      </c>
      <c r="CC68" s="17">
        <f t="shared" si="35"/>
        <v>0.52360160483419294</v>
      </c>
      <c r="CD68" s="17">
        <f t="shared" si="35"/>
        <v>0.52363375707534621</v>
      </c>
      <c r="CE68" s="17">
        <f t="shared" si="35"/>
        <v>0.52364257312109652</v>
      </c>
      <c r="CF68" s="17">
        <f t="shared" si="35"/>
        <v>0.5236449905056163</v>
      </c>
      <c r="CG68" s="17">
        <f t="shared" si="35"/>
        <v>0.52364565336314417</v>
      </c>
      <c r="CH68" s="17">
        <f t="shared" si="35"/>
        <v>0.52364583512190344</v>
      </c>
      <c r="CI68" s="17">
        <f t="shared" si="35"/>
        <v>0.52364588496106157</v>
      </c>
      <c r="CJ68" s="17">
        <f t="shared" si="35"/>
        <v>0.52364589862720901</v>
      </c>
      <c r="CK68" s="17">
        <f t="shared" si="35"/>
        <v>0.52364590237453534</v>
      </c>
      <c r="CL68" s="17">
        <f t="shared" si="35"/>
        <v>0.52364590340207107</v>
      </c>
      <c r="CM68" s="17">
        <f t="shared" si="35"/>
        <v>0.52364590368382657</v>
      </c>
      <c r="CN68" s="17">
        <f t="shared" si="35"/>
        <v>0.52364590376108522</v>
      </c>
      <c r="CO68" s="17">
        <f t="shared" si="35"/>
        <v>0.52364590378227005</v>
      </c>
      <c r="CP68" s="17">
        <f t="shared" si="35"/>
        <v>0.52364590378807896</v>
      </c>
      <c r="CQ68" s="17">
        <f t="shared" si="35"/>
        <v>0.5236459037896718</v>
      </c>
      <c r="CR68" s="17">
        <f t="shared" si="35"/>
        <v>0.52364590379010867</v>
      </c>
      <c r="CS68" s="17">
        <f t="shared" si="35"/>
        <v>0.52364590379022846</v>
      </c>
      <c r="CT68" s="17">
        <f t="shared" si="35"/>
        <v>0.52364590379026121</v>
      </c>
      <c r="CU68" s="17">
        <f t="shared" si="35"/>
        <v>0.52364590379027021</v>
      </c>
      <c r="CV68" s="17">
        <f t="shared" si="35"/>
        <v>0.52364590379027265</v>
      </c>
      <c r="CW68" s="17">
        <f t="shared" si="35"/>
        <v>0.52364590379027331</v>
      </c>
      <c r="CX68" s="17">
        <f t="shared" si="35"/>
        <v>0.52364590379027354</v>
      </c>
      <c r="CY68" s="17">
        <f t="shared" si="35"/>
        <v>0.52364590379027354</v>
      </c>
      <c r="CZ68" s="17">
        <f t="shared" si="16"/>
        <v>100</v>
      </c>
      <c r="DA68" s="7"/>
      <c r="DB68" s="25"/>
      <c r="DC68" s="15">
        <v>3.3333333333333335E-3</v>
      </c>
      <c r="DD68" s="17">
        <f t="shared" si="17"/>
        <v>300</v>
      </c>
      <c r="DE68" s="17">
        <f t="shared" si="32"/>
        <v>175.52509710568881</v>
      </c>
      <c r="DF68" s="17">
        <f t="shared" si="32"/>
        <v>148.21549979890253</v>
      </c>
      <c r="DG68" s="17">
        <f t="shared" si="32"/>
        <v>139.02396643839126</v>
      </c>
      <c r="DH68" s="17">
        <f t="shared" si="32"/>
        <v>134.26814186047955</v>
      </c>
      <c r="DI68" s="17">
        <f t="shared" si="32"/>
        <v>130.67180482218126</v>
      </c>
      <c r="DJ68" s="17">
        <f t="shared" si="32"/>
        <v>127.3837560436763</v>
      </c>
      <c r="DK68" s="17">
        <f t="shared" si="32"/>
        <v>124.17802065708148</v>
      </c>
      <c r="DL68" s="17">
        <f t="shared" si="30"/>
        <v>120.99427953367251</v>
      </c>
      <c r="DM68" s="17">
        <f t="shared" si="30"/>
        <v>117.81641533183303</v>
      </c>
      <c r="DN68" s="17">
        <f t="shared" si="30"/>
        <v>114.64012251584784</v>
      </c>
      <c r="DO68" s="17">
        <f t="shared" si="30"/>
        <v>111.46425172045421</v>
      </c>
      <c r="DP68" s="17">
        <f t="shared" si="30"/>
        <v>108.28849646419695</v>
      </c>
      <c r="DQ68" s="17">
        <f t="shared" si="30"/>
        <v>105.11277518997045</v>
      </c>
      <c r="DR68" s="17">
        <f t="shared" si="30"/>
        <v>101.93706629137684</v>
      </c>
      <c r="DS68" s="17">
        <f t="shared" si="30"/>
        <v>98.761364101356222</v>
      </c>
      <c r="DT68" s="17">
        <f t="shared" si="30"/>
        <v>95.585667159413219</v>
      </c>
      <c r="DU68" s="17">
        <f t="shared" si="24"/>
        <v>92.40997508613647</v>
      </c>
      <c r="DV68" s="17">
        <f t="shared" si="24"/>
        <v>89.234287751371596</v>
      </c>
      <c r="DW68" s="17">
        <f t="shared" si="24"/>
        <v>86.058605053388348</v>
      </c>
      <c r="DX68" s="17">
        <f t="shared" si="24"/>
        <v>82.882926860962314</v>
      </c>
      <c r="DY68" s="17">
        <f t="shared" si="24"/>
        <v>79.707252999149887</v>
      </c>
      <c r="DZ68" s="17">
        <f t="shared" si="24"/>
        <v>76.531583247053732</v>
      </c>
      <c r="EA68" s="17">
        <f t="shared" si="24"/>
        <v>73.355917339144185</v>
      </c>
      <c r="EB68" s="17">
        <f t="shared" si="24"/>
        <v>70.180254967878099</v>
      </c>
      <c r="EC68" s="17">
        <f t="shared" si="20"/>
        <v>67.00459578699153</v>
      </c>
      <c r="ED68" s="17">
        <f t="shared" si="20"/>
        <v>63.828939415273261</v>
      </c>
      <c r="EE68" s="17">
        <f t="shared" si="20"/>
        <v>60.653285440736127</v>
      </c>
      <c r="EF68" s="17">
        <f t="shared" si="20"/>
        <v>57.477633425129454</v>
      </c>
      <c r="EG68" s="17">
        <f t="shared" si="20"/>
        <v>54.30198290874025</v>
      </c>
      <c r="EH68" s="17">
        <f t="shared" si="20"/>
        <v>51.126333415429805</v>
      </c>
    </row>
    <row r="69" spans="5:138" ht="15.6" x14ac:dyDescent="0.3">
      <c r="E69" s="25"/>
      <c r="F69" s="15">
        <v>0</v>
      </c>
      <c r="G69" s="7">
        <f t="shared" si="10"/>
        <v>300</v>
      </c>
      <c r="H69" s="7">
        <f t="shared" si="33"/>
        <v>293.33323995443419</v>
      </c>
      <c r="I69" s="7">
        <f t="shared" si="33"/>
        <v>286.66648093194715</v>
      </c>
      <c r="J69" s="7">
        <f t="shared" si="33"/>
        <v>279.99972394440852</v>
      </c>
      <c r="K69" s="7">
        <f t="shared" si="33"/>
        <v>273.33296998139281</v>
      </c>
      <c r="L69" s="7">
        <f t="shared" si="33"/>
        <v>266.66621999933693</v>
      </c>
      <c r="M69" s="7">
        <f t="shared" si="33"/>
        <v>259.99947491106178</v>
      </c>
      <c r="N69" s="7">
        <f t="shared" si="31"/>
        <v>253.33273557577101</v>
      </c>
      <c r="O69" s="7">
        <f t="shared" si="31"/>
        <v>246.66600278963716</v>
      </c>
      <c r="P69" s="7">
        <f t="shared" si="31"/>
        <v>239.99927727707905</v>
      </c>
      <c r="Q69" s="7">
        <f t="shared" si="31"/>
        <v>233.33255968282441</v>
      </c>
      <c r="R69" s="7">
        <f t="shared" si="31"/>
        <v>226.66585056484664</v>
      </c>
      <c r="S69" s="7">
        <f t="shared" si="31"/>
        <v>219.99915038825122</v>
      </c>
      <c r="T69" s="7">
        <f t="shared" si="31"/>
        <v>213.3324595201799</v>
      </c>
      <c r="U69" s="7">
        <f t="shared" si="31"/>
        <v>206.66577822578836</v>
      </c>
      <c r="V69" s="7">
        <f t="shared" si="31"/>
        <v>199.999106665341</v>
      </c>
      <c r="W69" s="7">
        <f t="shared" si="31"/>
        <v>193.3324448924551</v>
      </c>
      <c r="X69" s="7">
        <f t="shared" si="25"/>
        <v>186.66579285351335</v>
      </c>
      <c r="Y69" s="7">
        <f t="shared" si="25"/>
        <v>179.99915038825137</v>
      </c>
      <c r="Z69" s="7">
        <f t="shared" si="25"/>
        <v>173.33251723151352</v>
      </c>
      <c r="AA69" s="7">
        <f t="shared" si="25"/>
        <v>166.66589301615795</v>
      </c>
      <c r="AB69" s="7">
        <f t="shared" si="21"/>
        <v>159.99927727707933</v>
      </c>
      <c r="AC69" s="7">
        <f t="shared" si="21"/>
        <v>153.33266945630425</v>
      </c>
      <c r="AD69" s="7">
        <f t="shared" si="21"/>
        <v>146.66606890910475</v>
      </c>
      <c r="AE69" s="7">
        <f t="shared" si="21"/>
        <v>139.99947491106221</v>
      </c>
      <c r="AF69" s="7">
        <f t="shared" si="21"/>
        <v>133.33288666600396</v>
      </c>
      <c r="AG69" s="7">
        <f t="shared" si="21"/>
        <v>126.66630331472642</v>
      </c>
      <c r="AH69" s="7">
        <f t="shared" si="21"/>
        <v>119.99972394440879</v>
      </c>
      <c r="AI69" s="7">
        <f t="shared" si="21"/>
        <v>113.33314759861398</v>
      </c>
      <c r="AJ69" s="7">
        <f t="shared" si="21"/>
        <v>106.6665732877676</v>
      </c>
      <c r="AK69" s="7">
        <f t="shared" si="13"/>
        <v>100</v>
      </c>
      <c r="AL69" s="25"/>
      <c r="AM69" s="15">
        <v>0</v>
      </c>
      <c r="AN69" s="26">
        <f t="shared" si="29"/>
        <v>-538200000</v>
      </c>
      <c r="AO69" s="26">
        <f t="shared" si="29"/>
        <v>-526239828.24270886</v>
      </c>
      <c r="AP69" s="26">
        <f t="shared" si="29"/>
        <v>-514279658.36722666</v>
      </c>
      <c r="AQ69" s="26">
        <f t="shared" si="29"/>
        <v>-502319492.23474437</v>
      </c>
      <c r="AR69" s="26">
        <f t="shared" si="29"/>
        <v>-490359331.66544479</v>
      </c>
      <c r="AS69" s="26">
        <f t="shared" si="29"/>
        <v>-478399178.41855812</v>
      </c>
      <c r="AT69" s="26">
        <f t="shared" si="29"/>
        <v>-466439034.17308986</v>
      </c>
      <c r="AU69" s="26">
        <f t="shared" si="29"/>
        <v>-454478900.50942343</v>
      </c>
      <c r="AV69" s="26">
        <f t="shared" si="29"/>
        <v>-442518778.8920058</v>
      </c>
      <c r="AW69" s="26">
        <f t="shared" si="29"/>
        <v>-430558670.65330291</v>
      </c>
      <c r="AX69" s="26">
        <f t="shared" si="29"/>
        <v>-418598576.97920066</v>
      </c>
      <c r="AY69" s="26">
        <f t="shared" si="29"/>
        <v>-406638498.89601201</v>
      </c>
      <c r="AZ69" s="26">
        <f t="shared" si="29"/>
        <v>-394678437.25923288</v>
      </c>
      <c r="BA69" s="26">
        <f t="shared" si="29"/>
        <v>-382718392.74416846</v>
      </c>
      <c r="BB69" s="26">
        <f t="shared" si="29"/>
        <v>-370758365.83853537</v>
      </c>
      <c r="BC69" s="26">
        <f t="shared" si="29"/>
        <v>-358798356.83711731</v>
      </c>
      <c r="BD69" s="26">
        <f t="shared" si="22"/>
        <v>-346838365.83853549</v>
      </c>
      <c r="BE69" s="26">
        <f t="shared" si="22"/>
        <v>-334878392.74416876</v>
      </c>
      <c r="BF69" s="26">
        <f t="shared" si="22"/>
        <v>-322918437.25923318</v>
      </c>
      <c r="BG69" s="26">
        <f t="shared" si="22"/>
        <v>-310958498.89601249</v>
      </c>
      <c r="BH69" s="26">
        <f t="shared" si="22"/>
        <v>-298998576.97920114</v>
      </c>
      <c r="BI69" s="26">
        <f t="shared" si="22"/>
        <v>-287038670.65330356</v>
      </c>
      <c r="BJ69" s="26">
        <f t="shared" si="22"/>
        <v>-275078778.89200664</v>
      </c>
      <c r="BK69" s="26">
        <f t="shared" si="22"/>
        <v>-263118900.50942421</v>
      </c>
      <c r="BL69" s="26">
        <f t="shared" si="19"/>
        <v>-251159034.17309067</v>
      </c>
      <c r="BM69" s="26">
        <f t="shared" si="19"/>
        <v>-239199178.41855887</v>
      </c>
      <c r="BN69" s="26">
        <f t="shared" si="19"/>
        <v>-227239331.66544527</v>
      </c>
      <c r="BO69" s="26">
        <f t="shared" si="19"/>
        <v>-215279492.23474488</v>
      </c>
      <c r="BP69" s="26">
        <f t="shared" si="19"/>
        <v>-203319658.36722687</v>
      </c>
      <c r="BQ69" s="26">
        <f t="shared" si="19"/>
        <v>-191359828.24270907</v>
      </c>
      <c r="BR69" s="26">
        <f t="shared" si="19"/>
        <v>-179400000</v>
      </c>
      <c r="BS69" s="7"/>
      <c r="BT69" s="25"/>
      <c r="BU69" s="15">
        <v>0</v>
      </c>
      <c r="BV69" s="17">
        <v>0</v>
      </c>
      <c r="BW69" s="17">
        <f t="shared" si="35"/>
        <v>0.41095890410958902</v>
      </c>
      <c r="BX69" s="17">
        <f t="shared" si="35"/>
        <v>0.49446827726349057</v>
      </c>
      <c r="BY69" s="17">
        <f t="shared" si="35"/>
        <v>0.51576565211146774</v>
      </c>
      <c r="BZ69" s="17">
        <f t="shared" si="35"/>
        <v>0.52149397895713612</v>
      </c>
      <c r="CA69" s="17">
        <f t="shared" si="35"/>
        <v>0.52305649933975962</v>
      </c>
      <c r="CB69" s="17">
        <f t="shared" si="35"/>
        <v>0.52348433598989241</v>
      </c>
      <c r="CC69" s="17">
        <f t="shared" si="35"/>
        <v>0.52360160483419294</v>
      </c>
      <c r="CD69" s="17">
        <f t="shared" si="35"/>
        <v>0.52363375707534621</v>
      </c>
      <c r="CE69" s="17">
        <f t="shared" si="35"/>
        <v>0.52364257312109652</v>
      </c>
      <c r="CF69" s="17">
        <f t="shared" si="35"/>
        <v>0.5236449905056163</v>
      </c>
      <c r="CG69" s="17">
        <f t="shared" si="35"/>
        <v>0.52364565336314417</v>
      </c>
      <c r="CH69" s="17">
        <f t="shared" si="35"/>
        <v>0.52364583512190344</v>
      </c>
      <c r="CI69" s="17">
        <f t="shared" si="35"/>
        <v>0.52364588496106157</v>
      </c>
      <c r="CJ69" s="17">
        <f t="shared" si="35"/>
        <v>0.52364589862720901</v>
      </c>
      <c r="CK69" s="17">
        <f t="shared" si="35"/>
        <v>0.52364590237453534</v>
      </c>
      <c r="CL69" s="17">
        <f t="shared" si="35"/>
        <v>0.52364590340207107</v>
      </c>
      <c r="CM69" s="17">
        <f t="shared" si="35"/>
        <v>0.52364590368382657</v>
      </c>
      <c r="CN69" s="17">
        <f t="shared" si="35"/>
        <v>0.52364590376108522</v>
      </c>
      <c r="CO69" s="17">
        <f t="shared" si="35"/>
        <v>0.52364590378227005</v>
      </c>
      <c r="CP69" s="17">
        <f t="shared" si="35"/>
        <v>0.52364590378807896</v>
      </c>
      <c r="CQ69" s="17">
        <f t="shared" si="35"/>
        <v>0.5236459037896718</v>
      </c>
      <c r="CR69" s="17">
        <f t="shared" si="35"/>
        <v>0.52364590379010867</v>
      </c>
      <c r="CS69" s="17">
        <f t="shared" si="35"/>
        <v>0.52364590379022846</v>
      </c>
      <c r="CT69" s="17">
        <f t="shared" si="35"/>
        <v>0.52364590379026121</v>
      </c>
      <c r="CU69" s="17">
        <f t="shared" si="35"/>
        <v>0.52364590379027021</v>
      </c>
      <c r="CV69" s="17">
        <f t="shared" si="35"/>
        <v>0.52364590379027265</v>
      </c>
      <c r="CW69" s="17">
        <f t="shared" si="35"/>
        <v>0.52364590379027331</v>
      </c>
      <c r="CX69" s="17">
        <f t="shared" si="35"/>
        <v>0.52364590379027354</v>
      </c>
      <c r="CY69" s="17">
        <f t="shared" si="35"/>
        <v>0.52364590379027354</v>
      </c>
      <c r="CZ69" s="17">
        <f t="shared" si="16"/>
        <v>100</v>
      </c>
      <c r="DA69" s="7"/>
      <c r="DB69" s="25"/>
      <c r="DC69" s="15">
        <v>0</v>
      </c>
      <c r="DD69" s="17">
        <f t="shared" si="17"/>
        <v>300</v>
      </c>
      <c r="DE69" s="17">
        <f t="shared" si="32"/>
        <v>175.52509710568881</v>
      </c>
      <c r="DF69" s="17">
        <f t="shared" si="32"/>
        <v>148.21549979890253</v>
      </c>
      <c r="DG69" s="17">
        <f t="shared" si="32"/>
        <v>139.02396643839126</v>
      </c>
      <c r="DH69" s="17">
        <f t="shared" si="32"/>
        <v>134.26814186047955</v>
      </c>
      <c r="DI69" s="17">
        <f t="shared" si="32"/>
        <v>130.67180482218126</v>
      </c>
      <c r="DJ69" s="17">
        <f t="shared" si="32"/>
        <v>127.3837560436763</v>
      </c>
      <c r="DK69" s="17">
        <f t="shared" si="32"/>
        <v>124.17802065708148</v>
      </c>
      <c r="DL69" s="17">
        <f t="shared" si="30"/>
        <v>120.99427953367251</v>
      </c>
      <c r="DM69" s="17">
        <f t="shared" si="30"/>
        <v>117.81641533183303</v>
      </c>
      <c r="DN69" s="17">
        <f t="shared" si="30"/>
        <v>114.64012251584784</v>
      </c>
      <c r="DO69" s="17">
        <f t="shared" si="30"/>
        <v>111.46425172045421</v>
      </c>
      <c r="DP69" s="17">
        <f t="shared" si="30"/>
        <v>108.28849646419695</v>
      </c>
      <c r="DQ69" s="17">
        <f t="shared" si="30"/>
        <v>105.11277518997045</v>
      </c>
      <c r="DR69" s="17">
        <f t="shared" si="30"/>
        <v>101.93706629137684</v>
      </c>
      <c r="DS69" s="17">
        <f t="shared" si="30"/>
        <v>98.761364101356222</v>
      </c>
      <c r="DT69" s="17">
        <f t="shared" si="30"/>
        <v>95.585667159413219</v>
      </c>
      <c r="DU69" s="17">
        <f t="shared" si="24"/>
        <v>92.40997508613647</v>
      </c>
      <c r="DV69" s="17">
        <f t="shared" si="24"/>
        <v>89.234287751371596</v>
      </c>
      <c r="DW69" s="17">
        <f t="shared" si="24"/>
        <v>86.058605053388348</v>
      </c>
      <c r="DX69" s="17">
        <f t="shared" si="24"/>
        <v>82.882926860962314</v>
      </c>
      <c r="DY69" s="17">
        <f t="shared" si="24"/>
        <v>79.707252999149887</v>
      </c>
      <c r="DZ69" s="17">
        <f t="shared" si="24"/>
        <v>76.531583247053732</v>
      </c>
      <c r="EA69" s="17">
        <f t="shared" si="24"/>
        <v>73.355917339144185</v>
      </c>
      <c r="EB69" s="17">
        <f t="shared" si="24"/>
        <v>70.180254967878099</v>
      </c>
      <c r="EC69" s="17">
        <f t="shared" si="20"/>
        <v>67.00459578699153</v>
      </c>
      <c r="ED69" s="17">
        <f t="shared" si="20"/>
        <v>63.828939415273261</v>
      </c>
      <c r="EE69" s="17">
        <f t="shared" si="20"/>
        <v>60.653285440736127</v>
      </c>
      <c r="EF69" s="17">
        <f t="shared" si="20"/>
        <v>57.477633425129454</v>
      </c>
      <c r="EG69" s="17">
        <f t="shared" si="20"/>
        <v>54.30198290874025</v>
      </c>
      <c r="EH69" s="17">
        <f t="shared" si="20"/>
        <v>51.126333415429805</v>
      </c>
    </row>
    <row r="70" spans="5:138" ht="15.6" x14ac:dyDescent="0.3"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20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</row>
    <row r="71" spans="5:138" ht="15.6" x14ac:dyDescent="0.3"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20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</row>
    <row r="72" spans="5:138" ht="15.6" x14ac:dyDescent="0.3"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20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</row>
    <row r="73" spans="5:138" ht="15.6" x14ac:dyDescent="0.3">
      <c r="E73" s="25" t="s">
        <v>15</v>
      </c>
      <c r="F73" s="11" t="s">
        <v>2</v>
      </c>
      <c r="G73" s="11">
        <v>0</v>
      </c>
      <c r="H73" s="15">
        <v>3.3333333333333335E-3</v>
      </c>
      <c r="I73" s="15">
        <v>6.6666666666666671E-3</v>
      </c>
      <c r="J73" s="15">
        <v>0.01</v>
      </c>
      <c r="K73" s="15">
        <v>1.3333333333333334E-2</v>
      </c>
      <c r="L73" s="15">
        <v>1.6666666666666666E-2</v>
      </c>
      <c r="M73" s="15">
        <v>0.02</v>
      </c>
      <c r="N73" s="15">
        <v>2.3333333333333334E-2</v>
      </c>
      <c r="O73" s="15">
        <v>2.6666666666666668E-2</v>
      </c>
      <c r="P73" s="15">
        <v>3.0000000000000002E-2</v>
      </c>
      <c r="Q73" s="15">
        <v>3.3333333333333333E-2</v>
      </c>
      <c r="R73" s="15">
        <v>3.6666666666666667E-2</v>
      </c>
      <c r="S73" s="15">
        <v>0.04</v>
      </c>
      <c r="T73" s="15">
        <v>4.3333333333333335E-2</v>
      </c>
      <c r="U73" s="15">
        <v>4.6666666666666669E-2</v>
      </c>
      <c r="V73" s="15">
        <v>0.05</v>
      </c>
      <c r="W73" s="15">
        <v>5.3333333333333337E-2</v>
      </c>
      <c r="X73" s="15">
        <v>5.6666666666666671E-2</v>
      </c>
      <c r="Y73" s="15">
        <v>6.0000000000000005E-2</v>
      </c>
      <c r="Z73" s="15">
        <v>6.3333333333333339E-2</v>
      </c>
      <c r="AA73" s="15">
        <v>6.6666666666666666E-2</v>
      </c>
      <c r="AB73" s="15">
        <v>7.0000000000000007E-2</v>
      </c>
      <c r="AC73" s="15">
        <v>7.3333333333333334E-2</v>
      </c>
      <c r="AD73" s="15">
        <v>7.6666666666666675E-2</v>
      </c>
      <c r="AE73" s="15">
        <v>0.08</v>
      </c>
      <c r="AF73" s="15">
        <v>8.3333333333333343E-2</v>
      </c>
      <c r="AG73" s="15">
        <v>8.666666666666667E-2</v>
      </c>
      <c r="AH73" s="15">
        <v>9.0000000000000011E-2</v>
      </c>
      <c r="AI73" s="15">
        <v>9.3333333333333338E-2</v>
      </c>
      <c r="AJ73" s="15">
        <v>9.6666666666666679E-2</v>
      </c>
      <c r="AK73" s="15">
        <v>0.1</v>
      </c>
      <c r="AL73" s="25" t="s">
        <v>16</v>
      </c>
      <c r="AM73" s="11" t="s">
        <v>2</v>
      </c>
      <c r="AN73" s="11">
        <v>0</v>
      </c>
      <c r="AO73" s="15">
        <v>3.3333333333333335E-3</v>
      </c>
      <c r="AP73" s="15">
        <v>6.6666666666666671E-3</v>
      </c>
      <c r="AQ73" s="15">
        <v>0.01</v>
      </c>
      <c r="AR73" s="15">
        <v>1.3333333333333334E-2</v>
      </c>
      <c r="AS73" s="15">
        <v>1.6666666666666666E-2</v>
      </c>
      <c r="AT73" s="15">
        <v>0.02</v>
      </c>
      <c r="AU73" s="15">
        <v>2.3333333333333334E-2</v>
      </c>
      <c r="AV73" s="15">
        <v>2.6666666666666668E-2</v>
      </c>
      <c r="AW73" s="15">
        <v>3.0000000000000002E-2</v>
      </c>
      <c r="AX73" s="15">
        <v>3.3333333333333333E-2</v>
      </c>
      <c r="AY73" s="15">
        <v>3.6666666666666667E-2</v>
      </c>
      <c r="AZ73" s="15">
        <v>0.04</v>
      </c>
      <c r="BA73" s="15">
        <v>4.3333333333333335E-2</v>
      </c>
      <c r="BB73" s="15">
        <v>4.6666666666666669E-2</v>
      </c>
      <c r="BC73" s="15">
        <v>0.05</v>
      </c>
      <c r="BD73" s="15">
        <v>5.3333333333333337E-2</v>
      </c>
      <c r="BE73" s="15">
        <v>5.6666666666666671E-2</v>
      </c>
      <c r="BF73" s="15">
        <v>6.0000000000000005E-2</v>
      </c>
      <c r="BG73" s="15">
        <v>6.3333333333333339E-2</v>
      </c>
      <c r="BH73" s="15">
        <v>6.6666666666666666E-2</v>
      </c>
      <c r="BI73" s="15">
        <v>7.0000000000000007E-2</v>
      </c>
      <c r="BJ73" s="15">
        <v>7.3333333333333334E-2</v>
      </c>
      <c r="BK73" s="15">
        <v>7.6666666666666675E-2</v>
      </c>
      <c r="BL73" s="15">
        <v>0.08</v>
      </c>
      <c r="BM73" s="15">
        <v>8.3333333333333343E-2</v>
      </c>
      <c r="BN73" s="15">
        <v>8.666666666666667E-2</v>
      </c>
      <c r="BO73" s="15">
        <v>9.0000000000000011E-2</v>
      </c>
      <c r="BP73" s="15">
        <v>9.3333333333333338E-2</v>
      </c>
      <c r="BQ73" s="15">
        <v>9.6666666666666679E-2</v>
      </c>
      <c r="BR73" s="15">
        <v>0.1</v>
      </c>
      <c r="BS73" s="7"/>
      <c r="BT73" s="27" t="s">
        <v>17</v>
      </c>
      <c r="BU73" s="11" t="s">
        <v>2</v>
      </c>
      <c r="BV73" s="11">
        <v>0</v>
      </c>
      <c r="BW73" s="15">
        <v>3.3333333333333335E-3</v>
      </c>
      <c r="BX73" s="15">
        <v>6.6666666666666671E-3</v>
      </c>
      <c r="BY73" s="15">
        <v>0.01</v>
      </c>
      <c r="BZ73" s="15">
        <v>1.3333333333333334E-2</v>
      </c>
      <c r="CA73" s="15">
        <v>1.6666666666666666E-2</v>
      </c>
      <c r="CB73" s="15">
        <v>0.02</v>
      </c>
      <c r="CC73" s="15">
        <v>2.3333333333333334E-2</v>
      </c>
      <c r="CD73" s="15">
        <v>2.6666666666666668E-2</v>
      </c>
      <c r="CE73" s="15">
        <v>3.0000000000000002E-2</v>
      </c>
      <c r="CF73" s="15">
        <v>3.3333333333333333E-2</v>
      </c>
      <c r="CG73" s="15">
        <v>3.6666666666666667E-2</v>
      </c>
      <c r="CH73" s="15">
        <v>0.04</v>
      </c>
      <c r="CI73" s="15">
        <v>4.3333333333333335E-2</v>
      </c>
      <c r="CJ73" s="15">
        <v>4.6666666666666669E-2</v>
      </c>
      <c r="CK73" s="15">
        <v>0.05</v>
      </c>
      <c r="CL73" s="15">
        <v>5.3333333333333337E-2</v>
      </c>
      <c r="CM73" s="15">
        <v>5.6666666666666671E-2</v>
      </c>
      <c r="CN73" s="15">
        <v>6.0000000000000005E-2</v>
      </c>
      <c r="CO73" s="15">
        <v>6.3333333333333339E-2</v>
      </c>
      <c r="CP73" s="15">
        <v>6.6666666666666666E-2</v>
      </c>
      <c r="CQ73" s="15">
        <v>7.0000000000000007E-2</v>
      </c>
      <c r="CR73" s="15">
        <v>7.3333333333333334E-2</v>
      </c>
      <c r="CS73" s="15">
        <v>7.6666666666666675E-2</v>
      </c>
      <c r="CT73" s="15">
        <v>0.08</v>
      </c>
      <c r="CU73" s="15">
        <v>8.3333333333333343E-2</v>
      </c>
      <c r="CV73" s="15">
        <v>8.666666666666667E-2</v>
      </c>
      <c r="CW73" s="15">
        <v>9.0000000000000011E-2</v>
      </c>
      <c r="CX73" s="15">
        <v>9.3333333333333338E-2</v>
      </c>
      <c r="CY73" s="15">
        <v>9.6666666666666679E-2</v>
      </c>
      <c r="CZ73" s="15">
        <v>0.1</v>
      </c>
      <c r="DA73" s="7"/>
      <c r="DB73" s="27" t="s">
        <v>18</v>
      </c>
      <c r="DC73" s="11" t="s">
        <v>2</v>
      </c>
      <c r="DD73" s="11">
        <v>0</v>
      </c>
      <c r="DE73" s="15">
        <v>3.3333333333333335E-3</v>
      </c>
      <c r="DF73" s="15">
        <v>6.6666666666666671E-3</v>
      </c>
      <c r="DG73" s="15">
        <v>0.01</v>
      </c>
      <c r="DH73" s="15">
        <v>1.3333333333333334E-2</v>
      </c>
      <c r="DI73" s="15">
        <v>1.6666666666666666E-2</v>
      </c>
      <c r="DJ73" s="15">
        <v>0.02</v>
      </c>
      <c r="DK73" s="15">
        <v>2.3333333333333334E-2</v>
      </c>
      <c r="DL73" s="15">
        <v>2.6666666666666668E-2</v>
      </c>
      <c r="DM73" s="15">
        <v>3.0000000000000002E-2</v>
      </c>
      <c r="DN73" s="15">
        <v>3.3333333333333333E-2</v>
      </c>
      <c r="DO73" s="15">
        <v>3.6666666666666667E-2</v>
      </c>
      <c r="DP73" s="15">
        <v>0.04</v>
      </c>
      <c r="DQ73" s="15">
        <v>4.3333333333333335E-2</v>
      </c>
      <c r="DR73" s="15">
        <v>4.6666666666666669E-2</v>
      </c>
      <c r="DS73" s="15">
        <v>0.05</v>
      </c>
      <c r="DT73" s="15">
        <v>5.3333333333333337E-2</v>
      </c>
      <c r="DU73" s="15">
        <v>5.6666666666666671E-2</v>
      </c>
      <c r="DV73" s="15">
        <v>6.0000000000000005E-2</v>
      </c>
      <c r="DW73" s="15">
        <v>6.3333333333333339E-2</v>
      </c>
      <c r="DX73" s="15">
        <v>6.6666666666666666E-2</v>
      </c>
      <c r="DY73" s="15">
        <v>7.0000000000000007E-2</v>
      </c>
      <c r="DZ73" s="15">
        <v>7.3333333333333334E-2</v>
      </c>
      <c r="EA73" s="15">
        <v>7.6666666666666675E-2</v>
      </c>
      <c r="EB73" s="15">
        <v>0.08</v>
      </c>
      <c r="EC73" s="15">
        <v>8.3333333333333343E-2</v>
      </c>
      <c r="ED73" s="15">
        <v>8.666666666666667E-2</v>
      </c>
      <c r="EE73" s="15">
        <v>9.0000000000000011E-2</v>
      </c>
      <c r="EF73" s="15">
        <v>9.3333333333333338E-2</v>
      </c>
      <c r="EG73" s="15">
        <v>9.6666666666666679E-2</v>
      </c>
      <c r="EH73" s="15">
        <v>0.1</v>
      </c>
    </row>
    <row r="74" spans="5:138" ht="15.6" x14ac:dyDescent="0.3">
      <c r="E74" s="25"/>
      <c r="F74" s="15">
        <v>0.1</v>
      </c>
      <c r="G74" s="17">
        <f>$B$16</f>
        <v>300</v>
      </c>
      <c r="H74" s="17">
        <f t="shared" ref="H74:AI74" si="36">DE75/(1-BW75)</f>
        <v>293.33323995443419</v>
      </c>
      <c r="I74" s="17">
        <f t="shared" si="36"/>
        <v>286.66648093194715</v>
      </c>
      <c r="J74" s="17">
        <f t="shared" si="36"/>
        <v>279.99972394440857</v>
      </c>
      <c r="K74" s="17">
        <f t="shared" si="36"/>
        <v>273.33296998139281</v>
      </c>
      <c r="L74" s="17">
        <f t="shared" si="36"/>
        <v>266.66621999933699</v>
      </c>
      <c r="M74" s="17">
        <f t="shared" si="36"/>
        <v>259.9994749110619</v>
      </c>
      <c r="N74" s="17">
        <f t="shared" si="36"/>
        <v>253.33273557577112</v>
      </c>
      <c r="O74" s="17">
        <f t="shared" si="36"/>
        <v>246.66600278963733</v>
      </c>
      <c r="P74" s="17">
        <f t="shared" si="36"/>
        <v>239.99927727707916</v>
      </c>
      <c r="Q74" s="17">
        <f t="shared" si="36"/>
        <v>233.33255968282452</v>
      </c>
      <c r="R74" s="17">
        <f t="shared" si="36"/>
        <v>226.66585056484678</v>
      </c>
      <c r="S74" s="17">
        <f t="shared" si="36"/>
        <v>219.99915038825131</v>
      </c>
      <c r="T74" s="17">
        <f t="shared" si="36"/>
        <v>213.33245952017998</v>
      </c>
      <c r="U74" s="17">
        <f t="shared" si="36"/>
        <v>206.66577822578844</v>
      </c>
      <c r="V74" s="17">
        <f t="shared" si="36"/>
        <v>199.99910666534106</v>
      </c>
      <c r="W74" s="17">
        <f t="shared" si="36"/>
        <v>193.33244489245521</v>
      </c>
      <c r="X74" s="17">
        <f t="shared" si="36"/>
        <v>186.66579285351344</v>
      </c>
      <c r="Y74" s="17">
        <f t="shared" si="36"/>
        <v>179.99915038825139</v>
      </c>
      <c r="Z74" s="17">
        <f t="shared" si="36"/>
        <v>173.33251723151355</v>
      </c>
      <c r="AA74" s="17">
        <f t="shared" si="36"/>
        <v>166.66589301615801</v>
      </c>
      <c r="AB74" s="17">
        <f t="shared" si="36"/>
        <v>159.99927727707933</v>
      </c>
      <c r="AC74" s="17">
        <f t="shared" si="36"/>
        <v>153.33266945630433</v>
      </c>
      <c r="AD74" s="17">
        <f t="shared" si="36"/>
        <v>146.66606890910481</v>
      </c>
      <c r="AE74" s="17">
        <f t="shared" si="36"/>
        <v>139.99947491106226</v>
      </c>
      <c r="AF74" s="17">
        <f t="shared" si="36"/>
        <v>133.33288666600401</v>
      </c>
      <c r="AG74" s="17">
        <f t="shared" si="36"/>
        <v>126.66630331472646</v>
      </c>
      <c r="AH74" s="17">
        <f t="shared" si="36"/>
        <v>119.99972394440883</v>
      </c>
      <c r="AI74" s="17">
        <f t="shared" si="36"/>
        <v>113.33314759861402</v>
      </c>
      <c r="AJ74" s="17">
        <f>EG75/(1-CY75)</f>
        <v>106.66657328776763</v>
      </c>
      <c r="AK74" s="17">
        <f>$B$17</f>
        <v>100</v>
      </c>
      <c r="AL74" s="25"/>
      <c r="AM74" s="15">
        <v>0.1</v>
      </c>
      <c r="AN74" s="17">
        <f>-($B$12*$B$11)/$B$8*G39</f>
        <v>-538200000</v>
      </c>
      <c r="AO74" s="17">
        <f t="shared" ref="AO74:BR82" si="37">-($B$12*$B$11)/$B$8*H39</f>
        <v>-526239832.47825491</v>
      </c>
      <c r="AP74" s="17">
        <f t="shared" si="37"/>
        <v>-514279666.79191321</v>
      </c>
      <c r="AQ74" s="17">
        <f t="shared" si="37"/>
        <v>-502319504.75626898</v>
      </c>
      <c r="AR74" s="17">
        <f t="shared" si="37"/>
        <v>-490359348.14661872</v>
      </c>
      <c r="AS74" s="17">
        <f t="shared" si="37"/>
        <v>-478399198.67881054</v>
      </c>
      <c r="AT74" s="17">
        <f t="shared" si="37"/>
        <v>-466439057.99044502</v>
      </c>
      <c r="AU74" s="17">
        <f t="shared" si="37"/>
        <v>-454478927.62293339</v>
      </c>
      <c r="AV74" s="17">
        <f t="shared" si="37"/>
        <v>-442518809.00460929</v>
      </c>
      <c r="AW74" s="17">
        <f t="shared" si="37"/>
        <v>-430558703.43507993</v>
      </c>
      <c r="AX74" s="17">
        <f t="shared" si="37"/>
        <v>-418598612.07098716</v>
      </c>
      <c r="AY74" s="17">
        <f t="shared" si="37"/>
        <v>-406638535.91333503</v>
      </c>
      <c r="AZ74" s="17">
        <f t="shared" si="37"/>
        <v>-394678475.7965228</v>
      </c>
      <c r="BA74" s="17">
        <f t="shared" si="37"/>
        <v>-382718432.37920284</v>
      </c>
      <c r="BB74" s="17">
        <f t="shared" si="37"/>
        <v>-370758406.1370644</v>
      </c>
      <c r="BC74" s="17">
        <f t="shared" si="37"/>
        <v>-358798397.35762185</v>
      </c>
      <c r="BD74" s="17">
        <f t="shared" si="37"/>
        <v>-346838406.13706458</v>
      </c>
      <c r="BE74" s="17">
        <f t="shared" si="37"/>
        <v>-334878432.37920308</v>
      </c>
      <c r="BF74" s="17">
        <f t="shared" si="37"/>
        <v>-322918475.79652297</v>
      </c>
      <c r="BG74" s="17">
        <f t="shared" si="37"/>
        <v>-310958535.91333526</v>
      </c>
      <c r="BH74" s="17">
        <f t="shared" si="37"/>
        <v>-298998612.07098746</v>
      </c>
      <c r="BI74" s="17">
        <f t="shared" si="37"/>
        <v>-287038703.43508035</v>
      </c>
      <c r="BJ74" s="17">
        <f t="shared" si="37"/>
        <v>-275078809.00460988</v>
      </c>
      <c r="BK74" s="17">
        <f t="shared" si="37"/>
        <v>-263118927.62293401</v>
      </c>
      <c r="BL74" s="17">
        <f t="shared" si="37"/>
        <v>-251159057.99044564</v>
      </c>
      <c r="BM74" s="17">
        <f t="shared" si="37"/>
        <v>-239199198.67881116</v>
      </c>
      <c r="BN74" s="17">
        <f t="shared" si="37"/>
        <v>-227239348.14661926</v>
      </c>
      <c r="BO74" s="17">
        <f t="shared" si="37"/>
        <v>-215279504.7562694</v>
      </c>
      <c r="BP74" s="17">
        <f t="shared" si="37"/>
        <v>-203319666.79191351</v>
      </c>
      <c r="BQ74" s="17">
        <f t="shared" si="37"/>
        <v>-191359832.47825512</v>
      </c>
      <c r="BR74" s="17">
        <f t="shared" si="37"/>
        <v>-179400000</v>
      </c>
      <c r="BS74" s="7"/>
      <c r="BT74" s="25"/>
      <c r="BU74" s="15">
        <v>0.1</v>
      </c>
      <c r="BV74" s="17">
        <f>$B$20/($B$21-$B$22*BV75)</f>
        <v>0.52364590379027365</v>
      </c>
      <c r="BW74" s="17">
        <f>$B$20/($B$21-$B$22*BW75)</f>
        <v>0.52364590379027365</v>
      </c>
      <c r="BX74" s="17">
        <f t="shared" ref="BX74:CZ82" si="38">$B$20/($B$21-$B$22*BX75)</f>
        <v>0.52364590379027365</v>
      </c>
      <c r="BY74" s="17">
        <f t="shared" si="38"/>
        <v>0.52364590379027365</v>
      </c>
      <c r="BZ74" s="17">
        <f t="shared" si="38"/>
        <v>0.52364590379027365</v>
      </c>
      <c r="CA74" s="17">
        <f t="shared" si="38"/>
        <v>0.52364590379027365</v>
      </c>
      <c r="CB74" s="17">
        <f t="shared" si="38"/>
        <v>0.52364590379027365</v>
      </c>
      <c r="CC74" s="17">
        <f t="shared" si="38"/>
        <v>0.52364590379027365</v>
      </c>
      <c r="CD74" s="17">
        <f t="shared" si="38"/>
        <v>0.52364590379027365</v>
      </c>
      <c r="CE74" s="17">
        <f t="shared" si="38"/>
        <v>0.52364590379027365</v>
      </c>
      <c r="CF74" s="17">
        <f t="shared" si="38"/>
        <v>0.52364590379027365</v>
      </c>
      <c r="CG74" s="17">
        <f t="shared" si="38"/>
        <v>0.52364590379027365</v>
      </c>
      <c r="CH74" s="17">
        <f t="shared" si="38"/>
        <v>0.52364590379027365</v>
      </c>
      <c r="CI74" s="17">
        <f t="shared" si="38"/>
        <v>0.52364590379027365</v>
      </c>
      <c r="CJ74" s="17">
        <f t="shared" si="38"/>
        <v>0.52364590379027365</v>
      </c>
      <c r="CK74" s="17">
        <f t="shared" si="38"/>
        <v>0.52364590379027365</v>
      </c>
      <c r="CL74" s="17">
        <f t="shared" si="38"/>
        <v>0.52364590379027365</v>
      </c>
      <c r="CM74" s="17">
        <f t="shared" si="38"/>
        <v>0.52364590379027365</v>
      </c>
      <c r="CN74" s="17">
        <f t="shared" si="38"/>
        <v>0.52364590379027365</v>
      </c>
      <c r="CO74" s="17">
        <f t="shared" si="38"/>
        <v>0.52364590379027365</v>
      </c>
      <c r="CP74" s="17">
        <f t="shared" si="38"/>
        <v>0.52364590379027365</v>
      </c>
      <c r="CQ74" s="17">
        <f t="shared" si="38"/>
        <v>0.52364590379027365</v>
      </c>
      <c r="CR74" s="17">
        <f t="shared" si="38"/>
        <v>0.52364590379027365</v>
      </c>
      <c r="CS74" s="17">
        <f t="shared" si="38"/>
        <v>0.52364590379027365</v>
      </c>
      <c r="CT74" s="17">
        <f t="shared" si="38"/>
        <v>0.52364590379027365</v>
      </c>
      <c r="CU74" s="17">
        <f t="shared" si="38"/>
        <v>0.52364590379027365</v>
      </c>
      <c r="CV74" s="17">
        <f t="shared" si="38"/>
        <v>0.52364590379027365</v>
      </c>
      <c r="CW74" s="17">
        <f t="shared" si="38"/>
        <v>0.52364590379027365</v>
      </c>
      <c r="CX74" s="17">
        <f t="shared" si="38"/>
        <v>0.52364590379027365</v>
      </c>
      <c r="CY74" s="17">
        <f t="shared" si="38"/>
        <v>0.52364590379027365</v>
      </c>
      <c r="CZ74" s="17">
        <f t="shared" si="38"/>
        <v>0.52364590379027365</v>
      </c>
      <c r="DA74" s="7"/>
      <c r="DB74" s="25"/>
      <c r="DC74" s="15">
        <v>0.1</v>
      </c>
      <c r="DD74" s="17">
        <f>(DD75*$B$22-AN74)/($B$21-$B$22*BV75)</f>
        <v>142.90622886291791</v>
      </c>
      <c r="DE74" s="17">
        <f t="shared" ref="DE74:EH82" si="39">(DE75*$B$22-AO74)/($B$21-$B$22*BW75)</f>
        <v>139.73049040676528</v>
      </c>
      <c r="DF74" s="17">
        <f t="shared" si="39"/>
        <v>136.55475243796047</v>
      </c>
      <c r="DG74" s="17">
        <f t="shared" si="39"/>
        <v>133.37901543851163</v>
      </c>
      <c r="DH74" s="17">
        <f t="shared" si="39"/>
        <v>130.20327987980664</v>
      </c>
      <c r="DI74" s="17">
        <f t="shared" si="39"/>
        <v>127.02754621744823</v>
      </c>
      <c r="DJ74" s="17">
        <f t="shared" si="39"/>
        <v>123.85181488626233</v>
      </c>
      <c r="DK74" s="17">
        <f t="shared" si="39"/>
        <v>120.67608629553405</v>
      </c>
      <c r="DL74" s="17">
        <f t="shared" si="39"/>
        <v>117.50036082452353</v>
      </c>
      <c r="DM74" s="17">
        <f t="shared" si="39"/>
        <v>114.32463881831056</v>
      </c>
      <c r="DN74" s="17">
        <f t="shared" si="39"/>
        <v>111.14892058401392</v>
      </c>
      <c r="DO74" s="17">
        <f t="shared" si="39"/>
        <v>107.97320638742647</v>
      </c>
      <c r="DP74" s="17">
        <f t="shared" si="39"/>
        <v>104.79749645010313</v>
      </c>
      <c r="DQ74" s="17">
        <f t="shared" si="39"/>
        <v>101.62179094693337</v>
      </c>
      <c r="DR74" s="17">
        <f t="shared" si="39"/>
        <v>98.446090004225198</v>
      </c>
      <c r="DS74" s="17">
        <f t="shared" si="39"/>
        <v>95.2703936983212</v>
      </c>
      <c r="DT74" s="17">
        <f t="shared" si="39"/>
        <v>92.094702054762223</v>
      </c>
      <c r="DU74" s="17">
        <f t="shared" si="39"/>
        <v>88.919015048007395</v>
      </c>
      <c r="DV74" s="17">
        <f t="shared" si="39"/>
        <v>85.743332601714101</v>
      </c>
      <c r="DW74" s="17">
        <f t="shared" si="39"/>
        <v>82.567654589574445</v>
      </c>
      <c r="DX74" s="17">
        <f t="shared" si="39"/>
        <v>79.391980836698892</v>
      </c>
      <c r="DY74" s="17">
        <f t="shared" si="39"/>
        <v>76.216311121532542</v>
      </c>
      <c r="DZ74" s="17">
        <f t="shared" si="39"/>
        <v>73.040645178282546</v>
      </c>
      <c r="EA74" s="17">
        <f t="shared" si="39"/>
        <v>69.86498269983008</v>
      </c>
      <c r="EB74" s="17">
        <f t="shared" si="39"/>
        <v>66.689323341095331</v>
      </c>
      <c r="EC74" s="17">
        <f t="shared" si="39"/>
        <v>63.513666722818222</v>
      </c>
      <c r="ED74" s="17">
        <f t="shared" si="39"/>
        <v>60.338012435713594</v>
      </c>
      <c r="EE74" s="17">
        <f t="shared" si="39"/>
        <v>57.162360044955527</v>
      </c>
      <c r="EF74" s="17">
        <f t="shared" si="39"/>
        <v>53.986709094941297</v>
      </c>
      <c r="EG74" s="17">
        <f t="shared" si="39"/>
        <v>50.81105911428309</v>
      </c>
      <c r="EH74" s="17">
        <f t="shared" si="39"/>
        <v>47.635409620972645</v>
      </c>
    </row>
    <row r="75" spans="5:138" ht="15.6" x14ac:dyDescent="0.3">
      <c r="E75" s="25"/>
      <c r="F75" s="15">
        <v>9.6666666666666679E-2</v>
      </c>
      <c r="G75" s="17">
        <f t="shared" ref="G75:G104" si="40">$B$16</f>
        <v>300</v>
      </c>
      <c r="H75" s="17">
        <f>BW75*H74+DE75</f>
        <v>293.33323995443419</v>
      </c>
      <c r="I75" s="17">
        <f t="shared" ref="I75:AJ84" si="41">BX75*I74+DF75</f>
        <v>286.66648093194715</v>
      </c>
      <c r="J75" s="17">
        <f t="shared" si="41"/>
        <v>279.99972394440857</v>
      </c>
      <c r="K75" s="17">
        <f t="shared" si="41"/>
        <v>273.33296998139281</v>
      </c>
      <c r="L75" s="17">
        <f t="shared" si="41"/>
        <v>266.66621999933699</v>
      </c>
      <c r="M75" s="17">
        <f t="shared" si="41"/>
        <v>259.9994749110619</v>
      </c>
      <c r="N75" s="17">
        <f t="shared" si="41"/>
        <v>253.33273557577112</v>
      </c>
      <c r="O75" s="17">
        <f t="shared" si="41"/>
        <v>246.66600278963733</v>
      </c>
      <c r="P75" s="17">
        <f t="shared" si="41"/>
        <v>239.99927727707916</v>
      </c>
      <c r="Q75" s="17">
        <f t="shared" si="41"/>
        <v>233.33255968282452</v>
      </c>
      <c r="R75" s="17">
        <f t="shared" si="41"/>
        <v>226.66585056484678</v>
      </c>
      <c r="S75" s="17">
        <f t="shared" si="41"/>
        <v>219.99915038825131</v>
      </c>
      <c r="T75" s="17">
        <f t="shared" si="41"/>
        <v>213.33245952017998</v>
      </c>
      <c r="U75" s="17">
        <f t="shared" si="41"/>
        <v>206.66577822578844</v>
      </c>
      <c r="V75" s="17">
        <f t="shared" si="41"/>
        <v>199.99910666534106</v>
      </c>
      <c r="W75" s="17">
        <f t="shared" si="41"/>
        <v>193.33244489245521</v>
      </c>
      <c r="X75" s="17">
        <f t="shared" si="41"/>
        <v>186.66579285351344</v>
      </c>
      <c r="Y75" s="17">
        <f t="shared" si="41"/>
        <v>179.99915038825139</v>
      </c>
      <c r="Z75" s="17">
        <f t="shared" si="41"/>
        <v>173.33251723151355</v>
      </c>
      <c r="AA75" s="17">
        <f t="shared" si="41"/>
        <v>166.66589301615801</v>
      </c>
      <c r="AB75" s="17">
        <f t="shared" si="41"/>
        <v>159.99927727707933</v>
      </c>
      <c r="AC75" s="17">
        <f t="shared" si="41"/>
        <v>153.33266945630433</v>
      </c>
      <c r="AD75" s="17">
        <f t="shared" si="41"/>
        <v>146.66606890910481</v>
      </c>
      <c r="AE75" s="17">
        <f t="shared" si="41"/>
        <v>139.99947491106226</v>
      </c>
      <c r="AF75" s="17">
        <f t="shared" si="41"/>
        <v>133.33288666600401</v>
      </c>
      <c r="AG75" s="17">
        <f t="shared" si="41"/>
        <v>126.66630331472646</v>
      </c>
      <c r="AH75" s="17">
        <f t="shared" si="41"/>
        <v>119.99972394440883</v>
      </c>
      <c r="AI75" s="17">
        <f t="shared" si="41"/>
        <v>113.33314759861402</v>
      </c>
      <c r="AJ75" s="17">
        <f t="shared" si="41"/>
        <v>106.66657328776763</v>
      </c>
      <c r="AK75" s="17">
        <f t="shared" ref="AK75:AK104" si="42">$B$17</f>
        <v>100</v>
      </c>
      <c r="AL75" s="25"/>
      <c r="AM75" s="15">
        <v>9.6666666666666679E-2</v>
      </c>
      <c r="AN75" s="17">
        <f t="shared" ref="AN75:BC98" si="43">-($B$12*$B$11)/$B$8*G40</f>
        <v>-538200000</v>
      </c>
      <c r="AO75" s="17">
        <f t="shared" si="37"/>
        <v>-526239832.47825491</v>
      </c>
      <c r="AP75" s="17">
        <f t="shared" si="37"/>
        <v>-514279666.79191321</v>
      </c>
      <c r="AQ75" s="17">
        <f t="shared" si="37"/>
        <v>-502319504.75626898</v>
      </c>
      <c r="AR75" s="17">
        <f t="shared" si="37"/>
        <v>-490359348.14661872</v>
      </c>
      <c r="AS75" s="17">
        <f t="shared" si="37"/>
        <v>-478399198.67881054</v>
      </c>
      <c r="AT75" s="17">
        <f t="shared" si="37"/>
        <v>-466439057.99044502</v>
      </c>
      <c r="AU75" s="17">
        <f t="shared" si="37"/>
        <v>-454478927.62293339</v>
      </c>
      <c r="AV75" s="17">
        <f t="shared" si="37"/>
        <v>-442518809.00460929</v>
      </c>
      <c r="AW75" s="17">
        <f t="shared" si="37"/>
        <v>-430558703.43507993</v>
      </c>
      <c r="AX75" s="17">
        <f t="shared" si="37"/>
        <v>-418598612.07098716</v>
      </c>
      <c r="AY75" s="17">
        <f t="shared" si="37"/>
        <v>-406638535.91333503</v>
      </c>
      <c r="AZ75" s="17">
        <f t="shared" si="37"/>
        <v>-394678475.7965228</v>
      </c>
      <c r="BA75" s="17">
        <f t="shared" si="37"/>
        <v>-382718432.37920284</v>
      </c>
      <c r="BB75" s="17">
        <f t="shared" si="37"/>
        <v>-370758406.1370644</v>
      </c>
      <c r="BC75" s="17">
        <f t="shared" si="37"/>
        <v>-358798397.35762185</v>
      </c>
      <c r="BD75" s="17">
        <f t="shared" si="37"/>
        <v>-346838406.13706458</v>
      </c>
      <c r="BE75" s="17">
        <f t="shared" si="37"/>
        <v>-334878432.37920308</v>
      </c>
      <c r="BF75" s="17">
        <f t="shared" si="37"/>
        <v>-322918475.79652297</v>
      </c>
      <c r="BG75" s="17">
        <f t="shared" si="37"/>
        <v>-310958535.91333526</v>
      </c>
      <c r="BH75" s="17">
        <f t="shared" si="37"/>
        <v>-298998612.07098746</v>
      </c>
      <c r="BI75" s="17">
        <f t="shared" si="37"/>
        <v>-287038703.43508035</v>
      </c>
      <c r="BJ75" s="17">
        <f t="shared" si="37"/>
        <v>-275078809.00460988</v>
      </c>
      <c r="BK75" s="17">
        <f t="shared" si="37"/>
        <v>-263118927.62293401</v>
      </c>
      <c r="BL75" s="17">
        <f t="shared" si="37"/>
        <v>-251159057.99044564</v>
      </c>
      <c r="BM75" s="17">
        <f t="shared" si="37"/>
        <v>-239199198.67881116</v>
      </c>
      <c r="BN75" s="17">
        <f t="shared" si="37"/>
        <v>-227239348.14661926</v>
      </c>
      <c r="BO75" s="17">
        <f t="shared" si="37"/>
        <v>-215279504.7562694</v>
      </c>
      <c r="BP75" s="17">
        <f t="shared" si="37"/>
        <v>-203319666.79191351</v>
      </c>
      <c r="BQ75" s="17">
        <f t="shared" si="37"/>
        <v>-191359832.47825512</v>
      </c>
      <c r="BR75" s="17">
        <f t="shared" si="37"/>
        <v>-179400000</v>
      </c>
      <c r="BS75" s="7"/>
      <c r="BT75" s="25"/>
      <c r="BU75" s="15">
        <v>9.6666666666666679E-2</v>
      </c>
      <c r="BV75" s="17">
        <f t="shared" ref="BV75:CK97" si="44">$B$20/($B$21-$B$22*BV76)</f>
        <v>0.52364590379027365</v>
      </c>
      <c r="BW75" s="17">
        <f t="shared" si="44"/>
        <v>0.52364590379027365</v>
      </c>
      <c r="BX75" s="17">
        <f t="shared" si="38"/>
        <v>0.52364590379027365</v>
      </c>
      <c r="BY75" s="17">
        <f t="shared" si="38"/>
        <v>0.52364590379027365</v>
      </c>
      <c r="BZ75" s="17">
        <f t="shared" si="38"/>
        <v>0.52364590379027365</v>
      </c>
      <c r="CA75" s="17">
        <f t="shared" si="38"/>
        <v>0.52364590379027365</v>
      </c>
      <c r="CB75" s="17">
        <f t="shared" si="38"/>
        <v>0.52364590379027365</v>
      </c>
      <c r="CC75" s="17">
        <f t="shared" si="38"/>
        <v>0.52364590379027365</v>
      </c>
      <c r="CD75" s="17">
        <f t="shared" si="38"/>
        <v>0.52364590379027365</v>
      </c>
      <c r="CE75" s="17">
        <f t="shared" si="38"/>
        <v>0.52364590379027365</v>
      </c>
      <c r="CF75" s="17">
        <f t="shared" si="38"/>
        <v>0.52364590379027365</v>
      </c>
      <c r="CG75" s="17">
        <f t="shared" si="38"/>
        <v>0.52364590379027365</v>
      </c>
      <c r="CH75" s="17">
        <f t="shared" si="38"/>
        <v>0.52364590379027365</v>
      </c>
      <c r="CI75" s="17">
        <f t="shared" si="38"/>
        <v>0.52364590379027365</v>
      </c>
      <c r="CJ75" s="17">
        <f t="shared" si="38"/>
        <v>0.52364590379027365</v>
      </c>
      <c r="CK75" s="17">
        <f t="shared" si="38"/>
        <v>0.52364590379027365</v>
      </c>
      <c r="CL75" s="17">
        <f t="shared" si="38"/>
        <v>0.52364590379027365</v>
      </c>
      <c r="CM75" s="17">
        <f t="shared" si="38"/>
        <v>0.52364590379027365</v>
      </c>
      <c r="CN75" s="17">
        <f t="shared" si="38"/>
        <v>0.52364590379027365</v>
      </c>
      <c r="CO75" s="17">
        <f t="shared" si="38"/>
        <v>0.52364590379027365</v>
      </c>
      <c r="CP75" s="17">
        <f t="shared" si="38"/>
        <v>0.52364590379027365</v>
      </c>
      <c r="CQ75" s="17">
        <f t="shared" si="38"/>
        <v>0.52364590379027365</v>
      </c>
      <c r="CR75" s="17">
        <f t="shared" si="38"/>
        <v>0.52364590379027365</v>
      </c>
      <c r="CS75" s="17">
        <f t="shared" si="38"/>
        <v>0.52364590379027365</v>
      </c>
      <c r="CT75" s="17">
        <f t="shared" si="38"/>
        <v>0.52364590379027365</v>
      </c>
      <c r="CU75" s="17">
        <f t="shared" si="38"/>
        <v>0.52364590379027365</v>
      </c>
      <c r="CV75" s="17">
        <f t="shared" si="38"/>
        <v>0.52364590379027365</v>
      </c>
      <c r="CW75" s="17">
        <f t="shared" si="38"/>
        <v>0.52364590379027365</v>
      </c>
      <c r="CX75" s="17">
        <f t="shared" si="38"/>
        <v>0.52364590379027365</v>
      </c>
      <c r="CY75" s="17">
        <f t="shared" si="38"/>
        <v>0.52364590379027365</v>
      </c>
      <c r="CZ75" s="17">
        <f t="shared" si="38"/>
        <v>0.52364590379027365</v>
      </c>
      <c r="DA75" s="7"/>
      <c r="DB75" s="25"/>
      <c r="DC75" s="15">
        <v>9.6666666666666679E-2</v>
      </c>
      <c r="DD75" s="17">
        <f t="shared" ref="DD75:DS98" si="45">(DD76*$B$22-AN75)/($B$21-$B$22*BV76)</f>
        <v>142.90622886291791</v>
      </c>
      <c r="DE75" s="17">
        <f t="shared" si="39"/>
        <v>139.73049040676528</v>
      </c>
      <c r="DF75" s="17">
        <f t="shared" si="39"/>
        <v>136.55475243796045</v>
      </c>
      <c r="DG75" s="17">
        <f t="shared" si="39"/>
        <v>133.37901543851163</v>
      </c>
      <c r="DH75" s="17">
        <f t="shared" si="39"/>
        <v>130.20327987980664</v>
      </c>
      <c r="DI75" s="17">
        <f t="shared" si="39"/>
        <v>127.02754621744822</v>
      </c>
      <c r="DJ75" s="17">
        <f t="shared" si="39"/>
        <v>123.85181488626232</v>
      </c>
      <c r="DK75" s="17">
        <f t="shared" si="39"/>
        <v>120.67608629553405</v>
      </c>
      <c r="DL75" s="17">
        <f t="shared" si="39"/>
        <v>117.50036082452353</v>
      </c>
      <c r="DM75" s="17">
        <f t="shared" si="39"/>
        <v>114.32463881831056</v>
      </c>
      <c r="DN75" s="17">
        <f t="shared" si="39"/>
        <v>111.14892058401391</v>
      </c>
      <c r="DO75" s="17">
        <f t="shared" si="39"/>
        <v>107.97320638742647</v>
      </c>
      <c r="DP75" s="17">
        <f t="shared" si="39"/>
        <v>104.79749645010313</v>
      </c>
      <c r="DQ75" s="17">
        <f t="shared" si="39"/>
        <v>101.62179094693337</v>
      </c>
      <c r="DR75" s="17">
        <f t="shared" si="39"/>
        <v>98.446090004225198</v>
      </c>
      <c r="DS75" s="17">
        <f t="shared" si="39"/>
        <v>95.2703936983212</v>
      </c>
      <c r="DT75" s="17">
        <f t="shared" si="39"/>
        <v>92.094702054762223</v>
      </c>
      <c r="DU75" s="17">
        <f t="shared" si="39"/>
        <v>88.919015048007395</v>
      </c>
      <c r="DV75" s="17">
        <f t="shared" si="39"/>
        <v>85.743332601714101</v>
      </c>
      <c r="DW75" s="17">
        <f t="shared" si="39"/>
        <v>82.56765458957446</v>
      </c>
      <c r="DX75" s="17">
        <f t="shared" si="39"/>
        <v>79.391980836698892</v>
      </c>
      <c r="DY75" s="17">
        <f t="shared" si="39"/>
        <v>76.216311121532527</v>
      </c>
      <c r="DZ75" s="17">
        <f t="shared" si="39"/>
        <v>73.04064517828256</v>
      </c>
      <c r="EA75" s="17">
        <f t="shared" si="39"/>
        <v>69.864982699830065</v>
      </c>
      <c r="EB75" s="17">
        <f t="shared" si="39"/>
        <v>66.689323341095331</v>
      </c>
      <c r="EC75" s="17">
        <f t="shared" si="39"/>
        <v>63.513666722818222</v>
      </c>
      <c r="ED75" s="17">
        <f t="shared" si="39"/>
        <v>60.338012435713587</v>
      </c>
      <c r="EE75" s="17">
        <f t="shared" si="39"/>
        <v>57.162360044955527</v>
      </c>
      <c r="EF75" s="17">
        <f t="shared" si="39"/>
        <v>53.986709094941297</v>
      </c>
      <c r="EG75" s="17">
        <f t="shared" si="39"/>
        <v>50.81105911428309</v>
      </c>
      <c r="EH75" s="17">
        <f t="shared" si="39"/>
        <v>47.635409620972645</v>
      </c>
    </row>
    <row r="76" spans="5:138" ht="15.6" x14ac:dyDescent="0.3">
      <c r="E76" s="25"/>
      <c r="F76" s="15">
        <v>9.3333333333333338E-2</v>
      </c>
      <c r="G76" s="17">
        <f t="shared" si="40"/>
        <v>300</v>
      </c>
      <c r="H76" s="17">
        <f t="shared" ref="H76:K91" si="46">BW76*H75+DE76</f>
        <v>293.33323995443413</v>
      </c>
      <c r="I76" s="17">
        <f t="shared" si="41"/>
        <v>286.66648093194715</v>
      </c>
      <c r="J76" s="17">
        <f t="shared" si="41"/>
        <v>279.99972394440852</v>
      </c>
      <c r="K76" s="17">
        <f t="shared" si="41"/>
        <v>273.33296998139281</v>
      </c>
      <c r="L76" s="17">
        <f t="shared" si="41"/>
        <v>266.66621999933699</v>
      </c>
      <c r="M76" s="17">
        <f t="shared" si="41"/>
        <v>259.9994749110619</v>
      </c>
      <c r="N76" s="17">
        <f t="shared" si="41"/>
        <v>253.33273557577112</v>
      </c>
      <c r="O76" s="17">
        <f t="shared" si="41"/>
        <v>246.6660027896373</v>
      </c>
      <c r="P76" s="17">
        <f t="shared" si="41"/>
        <v>239.99927727707916</v>
      </c>
      <c r="Q76" s="17">
        <f t="shared" si="41"/>
        <v>233.33255968282452</v>
      </c>
      <c r="R76" s="17">
        <f t="shared" si="41"/>
        <v>226.66585056484675</v>
      </c>
      <c r="S76" s="17">
        <f t="shared" si="41"/>
        <v>219.99915038825128</v>
      </c>
      <c r="T76" s="17">
        <f t="shared" si="41"/>
        <v>213.33245952017995</v>
      </c>
      <c r="U76" s="17">
        <f t="shared" si="41"/>
        <v>206.66577822578844</v>
      </c>
      <c r="V76" s="17">
        <f t="shared" si="41"/>
        <v>199.99910666534106</v>
      </c>
      <c r="W76" s="17">
        <f t="shared" si="41"/>
        <v>193.33244489245521</v>
      </c>
      <c r="X76" s="17">
        <f t="shared" si="41"/>
        <v>186.66579285351344</v>
      </c>
      <c r="Y76" s="17">
        <f t="shared" si="41"/>
        <v>179.99915038825139</v>
      </c>
      <c r="Z76" s="17">
        <f t="shared" si="41"/>
        <v>173.33251723151358</v>
      </c>
      <c r="AA76" s="17">
        <f t="shared" si="41"/>
        <v>166.66589301615798</v>
      </c>
      <c r="AB76" s="17">
        <f t="shared" si="41"/>
        <v>159.99927727707933</v>
      </c>
      <c r="AC76" s="17">
        <f t="shared" si="41"/>
        <v>153.3326694563043</v>
      </c>
      <c r="AD76" s="17">
        <f t="shared" si="41"/>
        <v>146.66606890910481</v>
      </c>
      <c r="AE76" s="17">
        <f t="shared" si="41"/>
        <v>139.99947491106226</v>
      </c>
      <c r="AF76" s="17">
        <f t="shared" si="41"/>
        <v>133.33288666600401</v>
      </c>
      <c r="AG76" s="17">
        <f t="shared" si="41"/>
        <v>126.66630331472646</v>
      </c>
      <c r="AH76" s="17">
        <f t="shared" si="41"/>
        <v>119.99972394440883</v>
      </c>
      <c r="AI76" s="17">
        <f t="shared" si="41"/>
        <v>113.333147598614</v>
      </c>
      <c r="AJ76" s="17">
        <f t="shared" si="41"/>
        <v>106.66657328776762</v>
      </c>
      <c r="AK76" s="17">
        <f t="shared" si="42"/>
        <v>100</v>
      </c>
      <c r="AL76" s="25"/>
      <c r="AM76" s="15">
        <v>9.3333333333333338E-2</v>
      </c>
      <c r="AN76" s="17">
        <f t="shared" si="43"/>
        <v>-538200000</v>
      </c>
      <c r="AO76" s="17">
        <f t="shared" si="37"/>
        <v>-526239832.47825491</v>
      </c>
      <c r="AP76" s="17">
        <f t="shared" si="37"/>
        <v>-514279666.79191321</v>
      </c>
      <c r="AQ76" s="17">
        <f t="shared" si="37"/>
        <v>-502319504.75626886</v>
      </c>
      <c r="AR76" s="17">
        <f t="shared" si="37"/>
        <v>-490359348.14661872</v>
      </c>
      <c r="AS76" s="17">
        <f t="shared" si="37"/>
        <v>-478399198.67881048</v>
      </c>
      <c r="AT76" s="17">
        <f t="shared" si="37"/>
        <v>-466439057.99044502</v>
      </c>
      <c r="AU76" s="17">
        <f t="shared" si="37"/>
        <v>-454478927.62293339</v>
      </c>
      <c r="AV76" s="17">
        <f t="shared" si="37"/>
        <v>-442518809.00460929</v>
      </c>
      <c r="AW76" s="17">
        <f t="shared" si="37"/>
        <v>-430558703.43507993</v>
      </c>
      <c r="AX76" s="17">
        <f t="shared" si="37"/>
        <v>-418598612.07098716</v>
      </c>
      <c r="AY76" s="17">
        <f t="shared" si="37"/>
        <v>-406638535.91333503</v>
      </c>
      <c r="AZ76" s="17">
        <f t="shared" si="37"/>
        <v>-394678475.7965228</v>
      </c>
      <c r="BA76" s="17">
        <f t="shared" si="37"/>
        <v>-382718432.37920284</v>
      </c>
      <c r="BB76" s="17">
        <f t="shared" si="37"/>
        <v>-370758406.1370644</v>
      </c>
      <c r="BC76" s="17">
        <f t="shared" si="37"/>
        <v>-358798397.35762185</v>
      </c>
      <c r="BD76" s="17">
        <f t="shared" si="37"/>
        <v>-346838406.13706458</v>
      </c>
      <c r="BE76" s="17">
        <f t="shared" si="37"/>
        <v>-334878432.37920308</v>
      </c>
      <c r="BF76" s="17">
        <f t="shared" si="37"/>
        <v>-322918475.79652297</v>
      </c>
      <c r="BG76" s="17">
        <f t="shared" si="37"/>
        <v>-310958535.91333526</v>
      </c>
      <c r="BH76" s="17">
        <f t="shared" si="37"/>
        <v>-298998612.07098734</v>
      </c>
      <c r="BI76" s="17">
        <f t="shared" si="37"/>
        <v>-287038703.43508029</v>
      </c>
      <c r="BJ76" s="17">
        <f t="shared" si="37"/>
        <v>-275078809.00460988</v>
      </c>
      <c r="BK76" s="17">
        <f t="shared" si="37"/>
        <v>-263118927.62293401</v>
      </c>
      <c r="BL76" s="17">
        <f t="shared" si="37"/>
        <v>-251159057.99044564</v>
      </c>
      <c r="BM76" s="17">
        <f t="shared" si="37"/>
        <v>-239199198.67881116</v>
      </c>
      <c r="BN76" s="17">
        <f t="shared" si="37"/>
        <v>-227239348.14661926</v>
      </c>
      <c r="BO76" s="17">
        <f t="shared" si="37"/>
        <v>-215279504.7562694</v>
      </c>
      <c r="BP76" s="17">
        <f t="shared" si="37"/>
        <v>-203319666.79191351</v>
      </c>
      <c r="BQ76" s="17">
        <f t="shared" si="37"/>
        <v>-191359832.47825512</v>
      </c>
      <c r="BR76" s="17">
        <f t="shared" si="37"/>
        <v>-179400000</v>
      </c>
      <c r="BS76" s="7"/>
      <c r="BT76" s="25"/>
      <c r="BU76" s="15">
        <v>9.3333333333333338E-2</v>
      </c>
      <c r="BV76" s="17">
        <f t="shared" si="44"/>
        <v>0.52364590379027376</v>
      </c>
      <c r="BW76" s="17">
        <f t="shared" si="44"/>
        <v>0.52364590379027376</v>
      </c>
      <c r="BX76" s="17">
        <f t="shared" si="38"/>
        <v>0.52364590379027376</v>
      </c>
      <c r="BY76" s="17">
        <f t="shared" si="38"/>
        <v>0.52364590379027376</v>
      </c>
      <c r="BZ76" s="17">
        <f t="shared" si="38"/>
        <v>0.52364590379027376</v>
      </c>
      <c r="CA76" s="17">
        <f t="shared" si="38"/>
        <v>0.52364590379027376</v>
      </c>
      <c r="CB76" s="17">
        <f t="shared" si="38"/>
        <v>0.52364590379027376</v>
      </c>
      <c r="CC76" s="17">
        <f t="shared" si="38"/>
        <v>0.52364590379027376</v>
      </c>
      <c r="CD76" s="17">
        <f t="shared" si="38"/>
        <v>0.52364590379027376</v>
      </c>
      <c r="CE76" s="17">
        <f t="shared" si="38"/>
        <v>0.52364590379027376</v>
      </c>
      <c r="CF76" s="17">
        <f t="shared" si="38"/>
        <v>0.52364590379027376</v>
      </c>
      <c r="CG76" s="17">
        <f t="shared" si="38"/>
        <v>0.52364590379027376</v>
      </c>
      <c r="CH76" s="17">
        <f t="shared" si="38"/>
        <v>0.52364590379027376</v>
      </c>
      <c r="CI76" s="17">
        <f t="shared" si="38"/>
        <v>0.52364590379027376</v>
      </c>
      <c r="CJ76" s="17">
        <f t="shared" si="38"/>
        <v>0.52364590379027376</v>
      </c>
      <c r="CK76" s="17">
        <f t="shared" si="38"/>
        <v>0.52364590379027376</v>
      </c>
      <c r="CL76" s="17">
        <f t="shared" si="38"/>
        <v>0.52364590379027376</v>
      </c>
      <c r="CM76" s="17">
        <f t="shared" si="38"/>
        <v>0.52364590379027376</v>
      </c>
      <c r="CN76" s="17">
        <f t="shared" si="38"/>
        <v>0.52364590379027376</v>
      </c>
      <c r="CO76" s="17">
        <f t="shared" si="38"/>
        <v>0.52364590379027376</v>
      </c>
      <c r="CP76" s="17">
        <f t="shared" si="38"/>
        <v>0.52364590379027376</v>
      </c>
      <c r="CQ76" s="17">
        <f t="shared" si="38"/>
        <v>0.52364590379027376</v>
      </c>
      <c r="CR76" s="17">
        <f t="shared" si="38"/>
        <v>0.52364590379027376</v>
      </c>
      <c r="CS76" s="17">
        <f t="shared" si="38"/>
        <v>0.52364590379027376</v>
      </c>
      <c r="CT76" s="17">
        <f t="shared" si="38"/>
        <v>0.52364590379027376</v>
      </c>
      <c r="CU76" s="17">
        <f t="shared" si="38"/>
        <v>0.52364590379027376</v>
      </c>
      <c r="CV76" s="17">
        <f t="shared" si="38"/>
        <v>0.52364590379027376</v>
      </c>
      <c r="CW76" s="17">
        <f t="shared" si="38"/>
        <v>0.52364590379027376</v>
      </c>
      <c r="CX76" s="17">
        <f t="shared" si="38"/>
        <v>0.52364590379027376</v>
      </c>
      <c r="CY76" s="17">
        <f t="shared" si="38"/>
        <v>0.52364590379027376</v>
      </c>
      <c r="CZ76" s="17">
        <f t="shared" si="38"/>
        <v>0.52364590379027376</v>
      </c>
      <c r="DA76" s="7"/>
      <c r="DB76" s="25"/>
      <c r="DC76" s="15">
        <v>9.3333333333333338E-2</v>
      </c>
      <c r="DD76" s="17">
        <f t="shared" si="45"/>
        <v>142.90622886291786</v>
      </c>
      <c r="DE76" s="17">
        <f t="shared" si="39"/>
        <v>139.73049040676523</v>
      </c>
      <c r="DF76" s="17">
        <f t="shared" si="39"/>
        <v>136.55475243796042</v>
      </c>
      <c r="DG76" s="17">
        <f t="shared" si="39"/>
        <v>133.37901543851157</v>
      </c>
      <c r="DH76" s="17">
        <f t="shared" si="39"/>
        <v>130.20327987980662</v>
      </c>
      <c r="DI76" s="17">
        <f t="shared" si="39"/>
        <v>127.02754621744818</v>
      </c>
      <c r="DJ76" s="17">
        <f t="shared" si="39"/>
        <v>123.85181488626228</v>
      </c>
      <c r="DK76" s="17">
        <f t="shared" si="39"/>
        <v>120.67608629553402</v>
      </c>
      <c r="DL76" s="17">
        <f t="shared" si="39"/>
        <v>117.50036082452348</v>
      </c>
      <c r="DM76" s="17">
        <f t="shared" si="39"/>
        <v>114.32463881831052</v>
      </c>
      <c r="DN76" s="17">
        <f t="shared" si="39"/>
        <v>111.14892058401387</v>
      </c>
      <c r="DO76" s="17">
        <f t="shared" si="39"/>
        <v>107.97320638742643</v>
      </c>
      <c r="DP76" s="17">
        <f t="shared" si="39"/>
        <v>104.79749645010308</v>
      </c>
      <c r="DQ76" s="17">
        <f t="shared" si="39"/>
        <v>101.62179094693333</v>
      </c>
      <c r="DR76" s="17">
        <f t="shared" si="39"/>
        <v>98.446090004225169</v>
      </c>
      <c r="DS76" s="17">
        <f t="shared" si="39"/>
        <v>95.270393698321172</v>
      </c>
      <c r="DT76" s="17">
        <f t="shared" si="39"/>
        <v>92.094702054762195</v>
      </c>
      <c r="DU76" s="17">
        <f t="shared" si="39"/>
        <v>88.919015048007367</v>
      </c>
      <c r="DV76" s="17">
        <f t="shared" si="39"/>
        <v>85.743332601714087</v>
      </c>
      <c r="DW76" s="17">
        <f t="shared" si="39"/>
        <v>82.567654589574445</v>
      </c>
      <c r="DX76" s="17">
        <f t="shared" si="39"/>
        <v>79.391980836698849</v>
      </c>
      <c r="DY76" s="17">
        <f t="shared" si="39"/>
        <v>76.216311121532499</v>
      </c>
      <c r="DZ76" s="17">
        <f t="shared" si="39"/>
        <v>73.040645178282531</v>
      </c>
      <c r="EA76" s="17">
        <f t="shared" si="39"/>
        <v>69.864982699830051</v>
      </c>
      <c r="EB76" s="17">
        <f t="shared" si="39"/>
        <v>66.689323341095303</v>
      </c>
      <c r="EC76" s="17">
        <f t="shared" si="39"/>
        <v>63.513666722818201</v>
      </c>
      <c r="ED76" s="17">
        <f t="shared" si="39"/>
        <v>60.338012435713573</v>
      </c>
      <c r="EE76" s="17">
        <f t="shared" si="39"/>
        <v>57.162360044955506</v>
      </c>
      <c r="EF76" s="17">
        <f t="shared" si="39"/>
        <v>53.986709094941283</v>
      </c>
      <c r="EG76" s="17">
        <f t="shared" si="39"/>
        <v>50.811059114283069</v>
      </c>
      <c r="EH76" s="17">
        <f t="shared" si="39"/>
        <v>47.635409620972631</v>
      </c>
    </row>
    <row r="77" spans="5:138" ht="15.6" x14ac:dyDescent="0.3">
      <c r="E77" s="25"/>
      <c r="F77" s="15">
        <v>9.0000000000000011E-2</v>
      </c>
      <c r="G77" s="17">
        <f t="shared" si="40"/>
        <v>300</v>
      </c>
      <c r="H77" s="17">
        <f t="shared" si="46"/>
        <v>293.33323995443413</v>
      </c>
      <c r="I77" s="17">
        <f t="shared" si="41"/>
        <v>286.66648093194715</v>
      </c>
      <c r="J77" s="17">
        <f t="shared" si="41"/>
        <v>279.99972394440852</v>
      </c>
      <c r="K77" s="17">
        <f t="shared" si="41"/>
        <v>273.33296998139281</v>
      </c>
      <c r="L77" s="17">
        <f t="shared" si="41"/>
        <v>266.66621999933693</v>
      </c>
      <c r="M77" s="17">
        <f t="shared" si="41"/>
        <v>259.99947491106184</v>
      </c>
      <c r="N77" s="17">
        <f t="shared" si="41"/>
        <v>253.3327355757711</v>
      </c>
      <c r="O77" s="17">
        <f t="shared" si="41"/>
        <v>246.66600278963728</v>
      </c>
      <c r="P77" s="17">
        <f t="shared" si="41"/>
        <v>239.99927727707916</v>
      </c>
      <c r="Q77" s="17">
        <f t="shared" si="41"/>
        <v>233.3325596828245</v>
      </c>
      <c r="R77" s="17">
        <f t="shared" si="41"/>
        <v>226.66585056484672</v>
      </c>
      <c r="S77" s="17">
        <f t="shared" si="41"/>
        <v>219.99915038825128</v>
      </c>
      <c r="T77" s="17">
        <f t="shared" si="41"/>
        <v>213.33245952017995</v>
      </c>
      <c r="U77" s="17">
        <f t="shared" si="41"/>
        <v>206.66577822578842</v>
      </c>
      <c r="V77" s="17">
        <f t="shared" si="41"/>
        <v>199.99910666534103</v>
      </c>
      <c r="W77" s="17">
        <f t="shared" si="41"/>
        <v>193.33244489245519</v>
      </c>
      <c r="X77" s="17">
        <f t="shared" si="41"/>
        <v>186.66579285351344</v>
      </c>
      <c r="Y77" s="17">
        <f t="shared" si="41"/>
        <v>179.99915038825139</v>
      </c>
      <c r="Z77" s="17">
        <f t="shared" si="41"/>
        <v>173.33251723151355</v>
      </c>
      <c r="AA77" s="17">
        <f t="shared" si="41"/>
        <v>166.66589301615795</v>
      </c>
      <c r="AB77" s="17">
        <f t="shared" si="41"/>
        <v>159.99927727707933</v>
      </c>
      <c r="AC77" s="17">
        <f t="shared" si="41"/>
        <v>153.3326694563043</v>
      </c>
      <c r="AD77" s="17">
        <f t="shared" si="41"/>
        <v>146.66606890910481</v>
      </c>
      <c r="AE77" s="17">
        <f t="shared" si="41"/>
        <v>139.99947491106224</v>
      </c>
      <c r="AF77" s="17">
        <f t="shared" si="41"/>
        <v>133.33288666600401</v>
      </c>
      <c r="AG77" s="17">
        <f t="shared" si="41"/>
        <v>126.66630331472645</v>
      </c>
      <c r="AH77" s="17">
        <f t="shared" si="41"/>
        <v>119.99972394440883</v>
      </c>
      <c r="AI77" s="17">
        <f t="shared" si="41"/>
        <v>113.333147598614</v>
      </c>
      <c r="AJ77" s="17">
        <f t="shared" si="41"/>
        <v>106.66657328776762</v>
      </c>
      <c r="AK77" s="17">
        <f t="shared" si="42"/>
        <v>100</v>
      </c>
      <c r="AL77" s="25"/>
      <c r="AM77" s="15">
        <v>9.0000000000000011E-2</v>
      </c>
      <c r="AN77" s="17">
        <f t="shared" si="43"/>
        <v>-538200000</v>
      </c>
      <c r="AO77" s="17">
        <f t="shared" si="37"/>
        <v>-526239832.47825491</v>
      </c>
      <c r="AP77" s="17">
        <f t="shared" si="37"/>
        <v>-514279666.79191321</v>
      </c>
      <c r="AQ77" s="17">
        <f t="shared" si="37"/>
        <v>-502319504.75626886</v>
      </c>
      <c r="AR77" s="17">
        <f t="shared" si="37"/>
        <v>-490359348.14661872</v>
      </c>
      <c r="AS77" s="17">
        <f t="shared" si="37"/>
        <v>-478399198.67881048</v>
      </c>
      <c r="AT77" s="17">
        <f t="shared" si="37"/>
        <v>-466439057.99044496</v>
      </c>
      <c r="AU77" s="17">
        <f t="shared" si="37"/>
        <v>-454478927.62293333</v>
      </c>
      <c r="AV77" s="17">
        <f t="shared" si="37"/>
        <v>-442518809.00460923</v>
      </c>
      <c r="AW77" s="17">
        <f t="shared" si="37"/>
        <v>-430558703.43507993</v>
      </c>
      <c r="AX77" s="17">
        <f t="shared" si="37"/>
        <v>-418598612.07098711</v>
      </c>
      <c r="AY77" s="17">
        <f t="shared" si="37"/>
        <v>-406638535.91333503</v>
      </c>
      <c r="AZ77" s="17">
        <f t="shared" si="37"/>
        <v>-394678475.7965228</v>
      </c>
      <c r="BA77" s="17">
        <f t="shared" si="37"/>
        <v>-382718432.37920278</v>
      </c>
      <c r="BB77" s="17">
        <f t="shared" si="37"/>
        <v>-370758406.13706434</v>
      </c>
      <c r="BC77" s="17">
        <f t="shared" si="37"/>
        <v>-358798397.35762179</v>
      </c>
      <c r="BD77" s="17">
        <f t="shared" si="37"/>
        <v>-346838406.13706446</v>
      </c>
      <c r="BE77" s="17">
        <f t="shared" si="37"/>
        <v>-334878432.37920302</v>
      </c>
      <c r="BF77" s="17">
        <f t="shared" si="37"/>
        <v>-322918475.79652297</v>
      </c>
      <c r="BG77" s="17">
        <f t="shared" si="37"/>
        <v>-310958535.91333526</v>
      </c>
      <c r="BH77" s="17">
        <f t="shared" si="37"/>
        <v>-298998612.07098734</v>
      </c>
      <c r="BI77" s="17">
        <f t="shared" si="37"/>
        <v>-287038703.43508029</v>
      </c>
      <c r="BJ77" s="17">
        <f t="shared" si="37"/>
        <v>-275078809.00460988</v>
      </c>
      <c r="BK77" s="17">
        <f t="shared" si="37"/>
        <v>-263118927.62293401</v>
      </c>
      <c r="BL77" s="17">
        <f t="shared" si="37"/>
        <v>-251159057.99044564</v>
      </c>
      <c r="BM77" s="17">
        <f t="shared" si="37"/>
        <v>-239199198.67881116</v>
      </c>
      <c r="BN77" s="17">
        <f t="shared" si="37"/>
        <v>-227239348.14661923</v>
      </c>
      <c r="BO77" s="17">
        <f t="shared" si="37"/>
        <v>-215279504.7562694</v>
      </c>
      <c r="BP77" s="17">
        <f t="shared" si="37"/>
        <v>-203319666.79191351</v>
      </c>
      <c r="BQ77" s="17">
        <f t="shared" si="37"/>
        <v>-191359832.47825512</v>
      </c>
      <c r="BR77" s="17">
        <f t="shared" si="37"/>
        <v>-179400000</v>
      </c>
      <c r="BS77" s="7"/>
      <c r="BT77" s="25"/>
      <c r="BU77" s="15">
        <v>9.0000000000000011E-2</v>
      </c>
      <c r="BV77" s="17">
        <f t="shared" si="44"/>
        <v>0.52364590379027409</v>
      </c>
      <c r="BW77" s="17">
        <f t="shared" si="44"/>
        <v>0.52364590379027409</v>
      </c>
      <c r="BX77" s="17">
        <f t="shared" si="38"/>
        <v>0.52364590379027409</v>
      </c>
      <c r="BY77" s="17">
        <f t="shared" si="38"/>
        <v>0.52364590379027409</v>
      </c>
      <c r="BZ77" s="17">
        <f t="shared" si="38"/>
        <v>0.52364590379027409</v>
      </c>
      <c r="CA77" s="17">
        <f t="shared" si="38"/>
        <v>0.52364590379027409</v>
      </c>
      <c r="CB77" s="17">
        <f t="shared" si="38"/>
        <v>0.52364590379027409</v>
      </c>
      <c r="CC77" s="17">
        <f t="shared" si="38"/>
        <v>0.52364590379027409</v>
      </c>
      <c r="CD77" s="17">
        <f t="shared" si="38"/>
        <v>0.52364590379027409</v>
      </c>
      <c r="CE77" s="17">
        <f t="shared" si="38"/>
        <v>0.52364590379027409</v>
      </c>
      <c r="CF77" s="17">
        <f t="shared" si="38"/>
        <v>0.52364590379027409</v>
      </c>
      <c r="CG77" s="17">
        <f t="shared" si="38"/>
        <v>0.52364590379027409</v>
      </c>
      <c r="CH77" s="17">
        <f t="shared" si="38"/>
        <v>0.52364590379027409</v>
      </c>
      <c r="CI77" s="17">
        <f t="shared" si="38"/>
        <v>0.52364590379027409</v>
      </c>
      <c r="CJ77" s="17">
        <f t="shared" si="38"/>
        <v>0.52364590379027409</v>
      </c>
      <c r="CK77" s="17">
        <f t="shared" si="38"/>
        <v>0.52364590379027409</v>
      </c>
      <c r="CL77" s="17">
        <f t="shared" si="38"/>
        <v>0.52364590379027409</v>
      </c>
      <c r="CM77" s="17">
        <f t="shared" si="38"/>
        <v>0.52364590379027409</v>
      </c>
      <c r="CN77" s="17">
        <f t="shared" si="38"/>
        <v>0.52364590379027409</v>
      </c>
      <c r="CO77" s="17">
        <f t="shared" si="38"/>
        <v>0.52364590379027409</v>
      </c>
      <c r="CP77" s="17">
        <f t="shared" si="38"/>
        <v>0.52364590379027409</v>
      </c>
      <c r="CQ77" s="17">
        <f t="shared" si="38"/>
        <v>0.52364590379027409</v>
      </c>
      <c r="CR77" s="17">
        <f t="shared" si="38"/>
        <v>0.52364590379027409</v>
      </c>
      <c r="CS77" s="17">
        <f t="shared" si="38"/>
        <v>0.52364590379027409</v>
      </c>
      <c r="CT77" s="17">
        <f t="shared" si="38"/>
        <v>0.52364590379027409</v>
      </c>
      <c r="CU77" s="17">
        <f t="shared" si="38"/>
        <v>0.52364590379027409</v>
      </c>
      <c r="CV77" s="17">
        <f t="shared" si="38"/>
        <v>0.52364590379027409</v>
      </c>
      <c r="CW77" s="17">
        <f t="shared" si="38"/>
        <v>0.52364590379027409</v>
      </c>
      <c r="CX77" s="17">
        <f t="shared" si="38"/>
        <v>0.52364590379027409</v>
      </c>
      <c r="CY77" s="17">
        <f t="shared" si="38"/>
        <v>0.52364590379027409</v>
      </c>
      <c r="CZ77" s="17">
        <f t="shared" si="38"/>
        <v>0.52364590379027409</v>
      </c>
      <c r="DA77" s="7"/>
      <c r="DB77" s="25"/>
      <c r="DC77" s="15">
        <v>9.0000000000000011E-2</v>
      </c>
      <c r="DD77" s="17">
        <f t="shared" si="45"/>
        <v>142.90622886291777</v>
      </c>
      <c r="DE77" s="17">
        <f t="shared" si="39"/>
        <v>139.73049040676514</v>
      </c>
      <c r="DF77" s="17">
        <f t="shared" si="39"/>
        <v>136.5547524379603</v>
      </c>
      <c r="DG77" s="17">
        <f t="shared" si="39"/>
        <v>133.37901543851146</v>
      </c>
      <c r="DH77" s="17">
        <f t="shared" si="39"/>
        <v>130.20327987980653</v>
      </c>
      <c r="DI77" s="17">
        <f t="shared" si="39"/>
        <v>127.02754621744808</v>
      </c>
      <c r="DJ77" s="17">
        <f t="shared" si="39"/>
        <v>123.85181488626216</v>
      </c>
      <c r="DK77" s="17">
        <f t="shared" si="39"/>
        <v>120.67608629553392</v>
      </c>
      <c r="DL77" s="17">
        <f t="shared" si="39"/>
        <v>117.50036082452337</v>
      </c>
      <c r="DM77" s="17">
        <f t="shared" si="39"/>
        <v>114.32463881831043</v>
      </c>
      <c r="DN77" s="17">
        <f t="shared" si="39"/>
        <v>111.14892058401378</v>
      </c>
      <c r="DO77" s="17">
        <f t="shared" si="39"/>
        <v>107.97320638742634</v>
      </c>
      <c r="DP77" s="17">
        <f t="shared" si="39"/>
        <v>104.797496450103</v>
      </c>
      <c r="DQ77" s="17">
        <f t="shared" si="39"/>
        <v>101.62179094693325</v>
      </c>
      <c r="DR77" s="17">
        <f t="shared" si="39"/>
        <v>98.44609000422507</v>
      </c>
      <c r="DS77" s="17">
        <f t="shared" si="39"/>
        <v>95.270393698321087</v>
      </c>
      <c r="DT77" s="17">
        <f t="shared" si="39"/>
        <v>92.094702054762109</v>
      </c>
      <c r="DU77" s="17">
        <f t="shared" si="39"/>
        <v>88.919015048007296</v>
      </c>
      <c r="DV77" s="17">
        <f t="shared" si="39"/>
        <v>85.74333260171403</v>
      </c>
      <c r="DW77" s="17">
        <f t="shared" si="39"/>
        <v>82.56765458957436</v>
      </c>
      <c r="DX77" s="17">
        <f t="shared" si="39"/>
        <v>79.391980836698792</v>
      </c>
      <c r="DY77" s="17">
        <f t="shared" si="39"/>
        <v>76.216311121532456</v>
      </c>
      <c r="DZ77" s="17">
        <f t="shared" si="39"/>
        <v>73.04064517828246</v>
      </c>
      <c r="EA77" s="17">
        <f t="shared" si="39"/>
        <v>69.864982699829994</v>
      </c>
      <c r="EB77" s="17">
        <f t="shared" si="39"/>
        <v>66.689323341095246</v>
      </c>
      <c r="EC77" s="17">
        <f t="shared" si="39"/>
        <v>63.513666722818144</v>
      </c>
      <c r="ED77" s="17">
        <f t="shared" si="39"/>
        <v>60.338012435713523</v>
      </c>
      <c r="EE77" s="17">
        <f t="shared" si="39"/>
        <v>57.162360044955463</v>
      </c>
      <c r="EF77" s="17">
        <f t="shared" si="39"/>
        <v>53.98670909494124</v>
      </c>
      <c r="EG77" s="17">
        <f t="shared" si="39"/>
        <v>50.811059114283033</v>
      </c>
      <c r="EH77" s="17">
        <f t="shared" si="39"/>
        <v>47.635409620972595</v>
      </c>
    </row>
    <row r="78" spans="5:138" ht="15.6" x14ac:dyDescent="0.3">
      <c r="E78" s="25"/>
      <c r="F78" s="15">
        <v>8.666666666666667E-2</v>
      </c>
      <c r="G78" s="17">
        <f t="shared" si="40"/>
        <v>300</v>
      </c>
      <c r="H78" s="17">
        <f t="shared" si="46"/>
        <v>293.33323995443413</v>
      </c>
      <c r="I78" s="17">
        <f t="shared" si="41"/>
        <v>286.66648093194715</v>
      </c>
      <c r="J78" s="17">
        <f t="shared" si="41"/>
        <v>279.99972394440852</v>
      </c>
      <c r="K78" s="17">
        <f t="shared" si="41"/>
        <v>273.33296998139281</v>
      </c>
      <c r="L78" s="17">
        <f t="shared" si="41"/>
        <v>266.66621999933693</v>
      </c>
      <c r="M78" s="17">
        <f t="shared" si="41"/>
        <v>259.99947491106184</v>
      </c>
      <c r="N78" s="17">
        <f t="shared" si="41"/>
        <v>253.3327355757711</v>
      </c>
      <c r="O78" s="17">
        <f t="shared" si="41"/>
        <v>246.66600278963728</v>
      </c>
      <c r="P78" s="17">
        <f t="shared" si="41"/>
        <v>239.99927727707916</v>
      </c>
      <c r="Q78" s="17">
        <f t="shared" si="41"/>
        <v>233.33255968282452</v>
      </c>
      <c r="R78" s="17">
        <f t="shared" si="41"/>
        <v>226.66585056484672</v>
      </c>
      <c r="S78" s="17">
        <f t="shared" si="41"/>
        <v>219.99915038825128</v>
      </c>
      <c r="T78" s="17">
        <f t="shared" si="41"/>
        <v>213.33245952017995</v>
      </c>
      <c r="U78" s="17">
        <f t="shared" si="41"/>
        <v>206.66577822578842</v>
      </c>
      <c r="V78" s="17">
        <f t="shared" si="41"/>
        <v>199.99910666534103</v>
      </c>
      <c r="W78" s="17">
        <f t="shared" si="41"/>
        <v>193.33244489245519</v>
      </c>
      <c r="X78" s="17">
        <f t="shared" si="41"/>
        <v>186.66579285351344</v>
      </c>
      <c r="Y78" s="17">
        <f t="shared" si="41"/>
        <v>179.99915038825139</v>
      </c>
      <c r="Z78" s="17">
        <f t="shared" si="41"/>
        <v>173.33251723151358</v>
      </c>
      <c r="AA78" s="17">
        <f t="shared" si="41"/>
        <v>166.66589301615798</v>
      </c>
      <c r="AB78" s="17">
        <f t="shared" si="41"/>
        <v>159.99927727707933</v>
      </c>
      <c r="AC78" s="17">
        <f t="shared" si="41"/>
        <v>153.3326694563043</v>
      </c>
      <c r="AD78" s="17">
        <f t="shared" si="41"/>
        <v>146.66606890910481</v>
      </c>
      <c r="AE78" s="17">
        <f t="shared" si="41"/>
        <v>139.99947491106224</v>
      </c>
      <c r="AF78" s="17">
        <f t="shared" si="41"/>
        <v>133.33288666600401</v>
      </c>
      <c r="AG78" s="17">
        <f t="shared" si="41"/>
        <v>126.66630331472646</v>
      </c>
      <c r="AH78" s="17">
        <f t="shared" si="41"/>
        <v>119.99972394440883</v>
      </c>
      <c r="AI78" s="17">
        <f t="shared" si="41"/>
        <v>113.333147598614</v>
      </c>
      <c r="AJ78" s="17">
        <f t="shared" si="41"/>
        <v>106.66657328776762</v>
      </c>
      <c r="AK78" s="17">
        <f t="shared" si="42"/>
        <v>100</v>
      </c>
      <c r="AL78" s="25"/>
      <c r="AM78" s="15">
        <v>8.666666666666667E-2</v>
      </c>
      <c r="AN78" s="17">
        <f t="shared" si="43"/>
        <v>-538200000</v>
      </c>
      <c r="AO78" s="17">
        <f t="shared" si="37"/>
        <v>-526239832.47825491</v>
      </c>
      <c r="AP78" s="17">
        <f t="shared" si="37"/>
        <v>-514279666.79191321</v>
      </c>
      <c r="AQ78" s="17">
        <f t="shared" si="37"/>
        <v>-502319504.75626886</v>
      </c>
      <c r="AR78" s="17">
        <f t="shared" si="37"/>
        <v>-490359348.14661872</v>
      </c>
      <c r="AS78" s="17">
        <f t="shared" si="37"/>
        <v>-478399198.67881048</v>
      </c>
      <c r="AT78" s="17">
        <f t="shared" si="37"/>
        <v>-466439057.99044496</v>
      </c>
      <c r="AU78" s="17">
        <f t="shared" si="37"/>
        <v>-454478927.62293333</v>
      </c>
      <c r="AV78" s="17">
        <f t="shared" si="37"/>
        <v>-442518809.00460923</v>
      </c>
      <c r="AW78" s="17">
        <f t="shared" si="37"/>
        <v>-430558703.43507993</v>
      </c>
      <c r="AX78" s="17">
        <f t="shared" si="37"/>
        <v>-418598612.07098711</v>
      </c>
      <c r="AY78" s="17">
        <f t="shared" si="37"/>
        <v>-406638535.91333503</v>
      </c>
      <c r="AZ78" s="17">
        <f t="shared" si="37"/>
        <v>-394678475.7965228</v>
      </c>
      <c r="BA78" s="17">
        <f t="shared" si="37"/>
        <v>-382718432.37920284</v>
      </c>
      <c r="BB78" s="17">
        <f t="shared" si="37"/>
        <v>-370758406.1370644</v>
      </c>
      <c r="BC78" s="17">
        <f t="shared" si="37"/>
        <v>-358798397.35762179</v>
      </c>
      <c r="BD78" s="17">
        <f t="shared" si="37"/>
        <v>-346838406.13706446</v>
      </c>
      <c r="BE78" s="17">
        <f t="shared" si="37"/>
        <v>-334878432.37920302</v>
      </c>
      <c r="BF78" s="17">
        <f t="shared" si="37"/>
        <v>-322918475.79652297</v>
      </c>
      <c r="BG78" s="17">
        <f t="shared" si="37"/>
        <v>-310958535.91333526</v>
      </c>
      <c r="BH78" s="17">
        <f t="shared" si="37"/>
        <v>-298998612.07098734</v>
      </c>
      <c r="BI78" s="17">
        <f t="shared" si="37"/>
        <v>-287038703.43508029</v>
      </c>
      <c r="BJ78" s="17">
        <f t="shared" si="37"/>
        <v>-275078809.00460988</v>
      </c>
      <c r="BK78" s="17">
        <f t="shared" si="37"/>
        <v>-263118927.62293401</v>
      </c>
      <c r="BL78" s="17">
        <f t="shared" si="37"/>
        <v>-251159057.99044564</v>
      </c>
      <c r="BM78" s="17">
        <f t="shared" si="37"/>
        <v>-239199198.67881116</v>
      </c>
      <c r="BN78" s="17">
        <f t="shared" si="37"/>
        <v>-227239348.14661923</v>
      </c>
      <c r="BO78" s="17">
        <f t="shared" si="37"/>
        <v>-215279504.7562694</v>
      </c>
      <c r="BP78" s="17">
        <f t="shared" si="37"/>
        <v>-203319666.79191351</v>
      </c>
      <c r="BQ78" s="17">
        <f t="shared" si="37"/>
        <v>-191359832.47825512</v>
      </c>
      <c r="BR78" s="17">
        <f t="shared" si="37"/>
        <v>-179400000</v>
      </c>
      <c r="BS78" s="7"/>
      <c r="BT78" s="25"/>
      <c r="BU78" s="15">
        <v>8.666666666666667E-2</v>
      </c>
      <c r="BV78" s="17">
        <f t="shared" si="44"/>
        <v>0.52364590379027542</v>
      </c>
      <c r="BW78" s="17">
        <f t="shared" si="44"/>
        <v>0.52364590379027542</v>
      </c>
      <c r="BX78" s="17">
        <f t="shared" si="38"/>
        <v>0.52364590379027542</v>
      </c>
      <c r="BY78" s="17">
        <f t="shared" si="38"/>
        <v>0.52364590379027542</v>
      </c>
      <c r="BZ78" s="17">
        <f t="shared" si="38"/>
        <v>0.52364590379027542</v>
      </c>
      <c r="CA78" s="17">
        <f t="shared" si="38"/>
        <v>0.52364590379027542</v>
      </c>
      <c r="CB78" s="17">
        <f t="shared" si="38"/>
        <v>0.52364590379027542</v>
      </c>
      <c r="CC78" s="17">
        <f t="shared" si="38"/>
        <v>0.52364590379027542</v>
      </c>
      <c r="CD78" s="17">
        <f t="shared" si="38"/>
        <v>0.52364590379027542</v>
      </c>
      <c r="CE78" s="17">
        <f t="shared" si="38"/>
        <v>0.52364590379027542</v>
      </c>
      <c r="CF78" s="17">
        <f t="shared" si="38"/>
        <v>0.52364590379027542</v>
      </c>
      <c r="CG78" s="17">
        <f t="shared" si="38"/>
        <v>0.52364590379027542</v>
      </c>
      <c r="CH78" s="17">
        <f t="shared" si="38"/>
        <v>0.52364590379027542</v>
      </c>
      <c r="CI78" s="17">
        <f t="shared" si="38"/>
        <v>0.52364590379027542</v>
      </c>
      <c r="CJ78" s="17">
        <f t="shared" si="38"/>
        <v>0.52364590379027542</v>
      </c>
      <c r="CK78" s="17">
        <f t="shared" si="38"/>
        <v>0.52364590379027542</v>
      </c>
      <c r="CL78" s="17">
        <f t="shared" si="38"/>
        <v>0.52364590379027542</v>
      </c>
      <c r="CM78" s="17">
        <f t="shared" si="38"/>
        <v>0.52364590379027542</v>
      </c>
      <c r="CN78" s="17">
        <f t="shared" si="38"/>
        <v>0.52364590379027542</v>
      </c>
      <c r="CO78" s="17">
        <f t="shared" si="38"/>
        <v>0.52364590379027542</v>
      </c>
      <c r="CP78" s="17">
        <f t="shared" si="38"/>
        <v>0.52364590379027542</v>
      </c>
      <c r="CQ78" s="17">
        <f t="shared" si="38"/>
        <v>0.52364590379027542</v>
      </c>
      <c r="CR78" s="17">
        <f t="shared" si="38"/>
        <v>0.52364590379027542</v>
      </c>
      <c r="CS78" s="17">
        <f t="shared" si="38"/>
        <v>0.52364590379027542</v>
      </c>
      <c r="CT78" s="17">
        <f t="shared" si="38"/>
        <v>0.52364590379027542</v>
      </c>
      <c r="CU78" s="17">
        <f t="shared" si="38"/>
        <v>0.52364590379027542</v>
      </c>
      <c r="CV78" s="17">
        <f t="shared" si="38"/>
        <v>0.52364590379027542</v>
      </c>
      <c r="CW78" s="17">
        <f t="shared" si="38"/>
        <v>0.52364590379027542</v>
      </c>
      <c r="CX78" s="17">
        <f t="shared" si="38"/>
        <v>0.52364590379027542</v>
      </c>
      <c r="CY78" s="17">
        <f t="shared" si="38"/>
        <v>0.52364590379027542</v>
      </c>
      <c r="CZ78" s="17">
        <f t="shared" si="38"/>
        <v>0.52364590379027542</v>
      </c>
      <c r="DA78" s="7"/>
      <c r="DB78" s="25"/>
      <c r="DC78" s="15">
        <v>8.666666666666667E-2</v>
      </c>
      <c r="DD78" s="17">
        <f t="shared" si="45"/>
        <v>142.90622886291743</v>
      </c>
      <c r="DE78" s="17">
        <f t="shared" si="39"/>
        <v>139.73049040676477</v>
      </c>
      <c r="DF78" s="17">
        <f t="shared" si="39"/>
        <v>136.55475243795996</v>
      </c>
      <c r="DG78" s="17">
        <f t="shared" si="39"/>
        <v>133.37901543851112</v>
      </c>
      <c r="DH78" s="17">
        <f t="shared" si="39"/>
        <v>130.20327987980619</v>
      </c>
      <c r="DI78" s="17">
        <f t="shared" si="39"/>
        <v>127.02754621744775</v>
      </c>
      <c r="DJ78" s="17">
        <f t="shared" si="39"/>
        <v>123.85181488626185</v>
      </c>
      <c r="DK78" s="17">
        <f t="shared" si="39"/>
        <v>120.67608629553361</v>
      </c>
      <c r="DL78" s="17">
        <f t="shared" si="39"/>
        <v>117.50036082452307</v>
      </c>
      <c r="DM78" s="17">
        <f t="shared" si="39"/>
        <v>114.32463881831012</v>
      </c>
      <c r="DN78" s="17">
        <f t="shared" si="39"/>
        <v>111.1489205840135</v>
      </c>
      <c r="DO78" s="17">
        <f t="shared" si="39"/>
        <v>107.97320638742606</v>
      </c>
      <c r="DP78" s="17">
        <f t="shared" si="39"/>
        <v>104.79749645010273</v>
      </c>
      <c r="DQ78" s="17">
        <f t="shared" si="39"/>
        <v>101.62179094693299</v>
      </c>
      <c r="DR78" s="17">
        <f t="shared" si="39"/>
        <v>98.446090004224814</v>
      </c>
      <c r="DS78" s="17">
        <f t="shared" si="39"/>
        <v>95.270393698320831</v>
      </c>
      <c r="DT78" s="17">
        <f t="shared" si="39"/>
        <v>92.094702054761868</v>
      </c>
      <c r="DU78" s="17">
        <f t="shared" si="39"/>
        <v>88.919015048007054</v>
      </c>
      <c r="DV78" s="17">
        <f t="shared" si="39"/>
        <v>85.743332601713803</v>
      </c>
      <c r="DW78" s="17">
        <f t="shared" si="39"/>
        <v>82.567654589574161</v>
      </c>
      <c r="DX78" s="17">
        <f t="shared" si="39"/>
        <v>79.391980836698593</v>
      </c>
      <c r="DY78" s="17">
        <f t="shared" si="39"/>
        <v>76.216311121532257</v>
      </c>
      <c r="DZ78" s="17">
        <f t="shared" si="39"/>
        <v>73.040645178282276</v>
      </c>
      <c r="EA78" s="17">
        <f t="shared" si="39"/>
        <v>69.86498269982981</v>
      </c>
      <c r="EB78" s="17">
        <f t="shared" si="39"/>
        <v>66.689323341095076</v>
      </c>
      <c r="EC78" s="17">
        <f t="shared" si="39"/>
        <v>63.51366672281798</v>
      </c>
      <c r="ED78" s="17">
        <f t="shared" si="39"/>
        <v>60.338012435713367</v>
      </c>
      <c r="EE78" s="17">
        <f t="shared" si="39"/>
        <v>57.162360044955307</v>
      </c>
      <c r="EF78" s="17">
        <f t="shared" si="39"/>
        <v>53.986709094941098</v>
      </c>
      <c r="EG78" s="17">
        <f t="shared" si="39"/>
        <v>50.811059114282898</v>
      </c>
      <c r="EH78" s="17">
        <f t="shared" si="39"/>
        <v>47.635409620972467</v>
      </c>
    </row>
    <row r="79" spans="5:138" ht="15.6" x14ac:dyDescent="0.3">
      <c r="E79" s="25"/>
      <c r="F79" s="15">
        <v>8.3333333333333343E-2</v>
      </c>
      <c r="G79" s="17">
        <f t="shared" si="40"/>
        <v>300</v>
      </c>
      <c r="H79" s="17">
        <f t="shared" si="46"/>
        <v>293.33323995443413</v>
      </c>
      <c r="I79" s="17">
        <f t="shared" si="41"/>
        <v>286.66648093194715</v>
      </c>
      <c r="J79" s="17">
        <f t="shared" si="41"/>
        <v>279.99972394440852</v>
      </c>
      <c r="K79" s="17">
        <f t="shared" si="41"/>
        <v>273.33296998139281</v>
      </c>
      <c r="L79" s="17">
        <f t="shared" si="41"/>
        <v>266.66621999933693</v>
      </c>
      <c r="M79" s="17">
        <f t="shared" si="41"/>
        <v>259.99947491106184</v>
      </c>
      <c r="N79" s="17">
        <f t="shared" si="41"/>
        <v>253.3327355757711</v>
      </c>
      <c r="O79" s="17">
        <f t="shared" si="41"/>
        <v>246.66600278963728</v>
      </c>
      <c r="P79" s="17">
        <f t="shared" si="41"/>
        <v>239.99927727707916</v>
      </c>
      <c r="Q79" s="17">
        <f t="shared" si="41"/>
        <v>233.33255968282452</v>
      </c>
      <c r="R79" s="17">
        <f t="shared" si="41"/>
        <v>226.66585056484672</v>
      </c>
      <c r="S79" s="17">
        <f t="shared" si="41"/>
        <v>219.99915038825128</v>
      </c>
      <c r="T79" s="17">
        <f t="shared" si="41"/>
        <v>213.33245952017995</v>
      </c>
      <c r="U79" s="17">
        <f t="shared" si="41"/>
        <v>206.66577822578842</v>
      </c>
      <c r="V79" s="17">
        <f t="shared" si="41"/>
        <v>199.99910666534103</v>
      </c>
      <c r="W79" s="17">
        <f t="shared" si="41"/>
        <v>193.33244489245516</v>
      </c>
      <c r="X79" s="17">
        <f t="shared" si="41"/>
        <v>186.66579285351341</v>
      </c>
      <c r="Y79" s="17">
        <f t="shared" si="41"/>
        <v>179.99915038825139</v>
      </c>
      <c r="Z79" s="17">
        <f t="shared" si="41"/>
        <v>173.33251723151358</v>
      </c>
      <c r="AA79" s="17">
        <f t="shared" si="41"/>
        <v>166.66589301615795</v>
      </c>
      <c r="AB79" s="17">
        <f t="shared" si="41"/>
        <v>159.99927727707933</v>
      </c>
      <c r="AC79" s="17">
        <f t="shared" si="41"/>
        <v>153.33266945630427</v>
      </c>
      <c r="AD79" s="17">
        <f t="shared" si="41"/>
        <v>146.66606890910481</v>
      </c>
      <c r="AE79" s="17">
        <f t="shared" si="41"/>
        <v>139.99947491106224</v>
      </c>
      <c r="AF79" s="17">
        <f t="shared" si="41"/>
        <v>133.33288666600399</v>
      </c>
      <c r="AG79" s="17">
        <f t="shared" si="41"/>
        <v>126.66630331472646</v>
      </c>
      <c r="AH79" s="17">
        <f t="shared" si="41"/>
        <v>119.99972394440883</v>
      </c>
      <c r="AI79" s="17">
        <f t="shared" si="41"/>
        <v>113.333147598614</v>
      </c>
      <c r="AJ79" s="17">
        <f t="shared" si="41"/>
        <v>106.66657328776762</v>
      </c>
      <c r="AK79" s="17">
        <f t="shared" si="42"/>
        <v>100</v>
      </c>
      <c r="AL79" s="25"/>
      <c r="AM79" s="15">
        <v>8.3333333333333343E-2</v>
      </c>
      <c r="AN79" s="17">
        <f t="shared" si="43"/>
        <v>-538200000</v>
      </c>
      <c r="AO79" s="17">
        <f t="shared" si="37"/>
        <v>-526239832.47825491</v>
      </c>
      <c r="AP79" s="17">
        <f t="shared" si="37"/>
        <v>-514279666.79191321</v>
      </c>
      <c r="AQ79" s="17">
        <f t="shared" si="37"/>
        <v>-502319504.75626886</v>
      </c>
      <c r="AR79" s="17">
        <f t="shared" si="37"/>
        <v>-490359348.14661872</v>
      </c>
      <c r="AS79" s="17">
        <f t="shared" si="37"/>
        <v>-478399198.67881048</v>
      </c>
      <c r="AT79" s="17">
        <f t="shared" si="37"/>
        <v>-466439057.99044496</v>
      </c>
      <c r="AU79" s="17">
        <f t="shared" si="37"/>
        <v>-454478927.62293333</v>
      </c>
      <c r="AV79" s="17">
        <f t="shared" si="37"/>
        <v>-442518809.00460923</v>
      </c>
      <c r="AW79" s="17">
        <f t="shared" si="37"/>
        <v>-430558703.43507993</v>
      </c>
      <c r="AX79" s="17">
        <f t="shared" si="37"/>
        <v>-418598612.07098711</v>
      </c>
      <c r="AY79" s="17">
        <f t="shared" si="37"/>
        <v>-406638535.91333503</v>
      </c>
      <c r="AZ79" s="17">
        <f t="shared" si="37"/>
        <v>-394678475.7965228</v>
      </c>
      <c r="BA79" s="17">
        <f t="shared" si="37"/>
        <v>-382718432.37920278</v>
      </c>
      <c r="BB79" s="17">
        <f t="shared" si="37"/>
        <v>-370758406.13706434</v>
      </c>
      <c r="BC79" s="17">
        <f t="shared" si="37"/>
        <v>-358798397.35762179</v>
      </c>
      <c r="BD79" s="17">
        <f t="shared" si="37"/>
        <v>-346838406.13706446</v>
      </c>
      <c r="BE79" s="17">
        <f t="shared" si="37"/>
        <v>-334878432.37920296</v>
      </c>
      <c r="BF79" s="17">
        <f t="shared" si="37"/>
        <v>-322918475.79652297</v>
      </c>
      <c r="BG79" s="17">
        <f t="shared" si="37"/>
        <v>-310958535.91333526</v>
      </c>
      <c r="BH79" s="17">
        <f t="shared" si="37"/>
        <v>-298998612.07098734</v>
      </c>
      <c r="BI79" s="17">
        <f t="shared" si="37"/>
        <v>-287038703.43508029</v>
      </c>
      <c r="BJ79" s="17">
        <f t="shared" si="37"/>
        <v>-275078809.00460988</v>
      </c>
      <c r="BK79" s="17">
        <f t="shared" si="37"/>
        <v>-263118927.62293401</v>
      </c>
      <c r="BL79" s="17">
        <f t="shared" si="37"/>
        <v>-251159057.99044564</v>
      </c>
      <c r="BM79" s="17">
        <f t="shared" si="37"/>
        <v>-239199198.67881116</v>
      </c>
      <c r="BN79" s="17">
        <f t="shared" si="37"/>
        <v>-227239348.14661923</v>
      </c>
      <c r="BO79" s="17">
        <f t="shared" si="37"/>
        <v>-215279504.7562694</v>
      </c>
      <c r="BP79" s="17">
        <f t="shared" si="37"/>
        <v>-203319666.79191351</v>
      </c>
      <c r="BQ79" s="17">
        <f t="shared" si="37"/>
        <v>-191359832.47825512</v>
      </c>
      <c r="BR79" s="17">
        <f t="shared" si="37"/>
        <v>-179400000</v>
      </c>
      <c r="BS79" s="7"/>
      <c r="BT79" s="25"/>
      <c r="BU79" s="15">
        <v>8.3333333333333343E-2</v>
      </c>
      <c r="BV79" s="17">
        <f t="shared" si="44"/>
        <v>0.52364590379028009</v>
      </c>
      <c r="BW79" s="17">
        <f t="shared" si="44"/>
        <v>0.52364590379028009</v>
      </c>
      <c r="BX79" s="17">
        <f t="shared" si="38"/>
        <v>0.52364590379028009</v>
      </c>
      <c r="BY79" s="17">
        <f t="shared" si="38"/>
        <v>0.52364590379028009</v>
      </c>
      <c r="BZ79" s="17">
        <f t="shared" si="38"/>
        <v>0.52364590379028009</v>
      </c>
      <c r="CA79" s="17">
        <f t="shared" si="38"/>
        <v>0.52364590379028009</v>
      </c>
      <c r="CB79" s="17">
        <f t="shared" si="38"/>
        <v>0.52364590379028009</v>
      </c>
      <c r="CC79" s="17">
        <f t="shared" si="38"/>
        <v>0.52364590379028009</v>
      </c>
      <c r="CD79" s="17">
        <f t="shared" si="38"/>
        <v>0.52364590379028009</v>
      </c>
      <c r="CE79" s="17">
        <f t="shared" si="38"/>
        <v>0.52364590379028009</v>
      </c>
      <c r="CF79" s="17">
        <f t="shared" si="38"/>
        <v>0.52364590379028009</v>
      </c>
      <c r="CG79" s="17">
        <f t="shared" si="38"/>
        <v>0.52364590379028009</v>
      </c>
      <c r="CH79" s="17">
        <f t="shared" si="38"/>
        <v>0.52364590379028009</v>
      </c>
      <c r="CI79" s="17">
        <f t="shared" si="38"/>
        <v>0.52364590379028009</v>
      </c>
      <c r="CJ79" s="17">
        <f t="shared" si="38"/>
        <v>0.52364590379028009</v>
      </c>
      <c r="CK79" s="17">
        <f t="shared" si="38"/>
        <v>0.52364590379028009</v>
      </c>
      <c r="CL79" s="17">
        <f t="shared" si="38"/>
        <v>0.52364590379028009</v>
      </c>
      <c r="CM79" s="17">
        <f t="shared" si="38"/>
        <v>0.52364590379028009</v>
      </c>
      <c r="CN79" s="17">
        <f t="shared" si="38"/>
        <v>0.52364590379028009</v>
      </c>
      <c r="CO79" s="17">
        <f t="shared" si="38"/>
        <v>0.52364590379028009</v>
      </c>
      <c r="CP79" s="17">
        <f t="shared" si="38"/>
        <v>0.52364590379028009</v>
      </c>
      <c r="CQ79" s="17">
        <f t="shared" si="38"/>
        <v>0.52364590379028009</v>
      </c>
      <c r="CR79" s="17">
        <f t="shared" si="38"/>
        <v>0.52364590379028009</v>
      </c>
      <c r="CS79" s="17">
        <f t="shared" si="38"/>
        <v>0.52364590379028009</v>
      </c>
      <c r="CT79" s="17">
        <f t="shared" si="38"/>
        <v>0.52364590379028009</v>
      </c>
      <c r="CU79" s="17">
        <f t="shared" si="38"/>
        <v>0.52364590379028009</v>
      </c>
      <c r="CV79" s="17">
        <f t="shared" si="38"/>
        <v>0.52364590379028009</v>
      </c>
      <c r="CW79" s="17">
        <f t="shared" si="38"/>
        <v>0.52364590379028009</v>
      </c>
      <c r="CX79" s="17">
        <f t="shared" si="38"/>
        <v>0.52364590379028009</v>
      </c>
      <c r="CY79" s="17">
        <f t="shared" si="38"/>
        <v>0.52364590379028009</v>
      </c>
      <c r="CZ79" s="17">
        <f t="shared" si="38"/>
        <v>0.52364590379028009</v>
      </c>
      <c r="DA79" s="7"/>
      <c r="DB79" s="25"/>
      <c r="DC79" s="15">
        <v>8.3333333333333343E-2</v>
      </c>
      <c r="DD79" s="17">
        <f t="shared" si="45"/>
        <v>142.90622886291598</v>
      </c>
      <c r="DE79" s="17">
        <f t="shared" si="39"/>
        <v>139.73049040676341</v>
      </c>
      <c r="DF79" s="17">
        <f t="shared" si="39"/>
        <v>136.5547524379586</v>
      </c>
      <c r="DG79" s="17">
        <f t="shared" si="39"/>
        <v>133.37901543850978</v>
      </c>
      <c r="DH79" s="17">
        <f t="shared" si="39"/>
        <v>130.20327987980488</v>
      </c>
      <c r="DI79" s="17">
        <f t="shared" si="39"/>
        <v>127.02754621744648</v>
      </c>
      <c r="DJ79" s="17">
        <f t="shared" si="39"/>
        <v>123.85181488626061</v>
      </c>
      <c r="DK79" s="17">
        <f t="shared" si="39"/>
        <v>120.6760862955324</v>
      </c>
      <c r="DL79" s="17">
        <f t="shared" si="39"/>
        <v>117.50036082452191</v>
      </c>
      <c r="DM79" s="17">
        <f t="shared" si="39"/>
        <v>114.324638818309</v>
      </c>
      <c r="DN79" s="17">
        <f t="shared" si="39"/>
        <v>111.14892058401239</v>
      </c>
      <c r="DO79" s="17">
        <f t="shared" si="39"/>
        <v>107.97320638742498</v>
      </c>
      <c r="DP79" s="17">
        <f t="shared" si="39"/>
        <v>104.79749645010169</v>
      </c>
      <c r="DQ79" s="17">
        <f t="shared" si="39"/>
        <v>101.62179094693197</v>
      </c>
      <c r="DR79" s="17">
        <f t="shared" si="39"/>
        <v>98.446090004223834</v>
      </c>
      <c r="DS79" s="17">
        <f t="shared" si="39"/>
        <v>95.270393698319893</v>
      </c>
      <c r="DT79" s="17">
        <f t="shared" si="39"/>
        <v>92.094702054760944</v>
      </c>
      <c r="DU79" s="17">
        <f t="shared" si="39"/>
        <v>88.919015048006159</v>
      </c>
      <c r="DV79" s="17">
        <f t="shared" si="39"/>
        <v>85.74333260171295</v>
      </c>
      <c r="DW79" s="17">
        <f t="shared" si="39"/>
        <v>82.567654589573337</v>
      </c>
      <c r="DX79" s="17">
        <f t="shared" si="39"/>
        <v>79.391980836697797</v>
      </c>
      <c r="DY79" s="17">
        <f t="shared" si="39"/>
        <v>76.216311121531504</v>
      </c>
      <c r="DZ79" s="17">
        <f t="shared" si="39"/>
        <v>73.040645178281537</v>
      </c>
      <c r="EA79" s="17">
        <f t="shared" si="39"/>
        <v>69.864982699829113</v>
      </c>
      <c r="EB79" s="17">
        <f t="shared" si="39"/>
        <v>66.689323341094408</v>
      </c>
      <c r="EC79" s="17">
        <f t="shared" si="39"/>
        <v>63.513666722817341</v>
      </c>
      <c r="ED79" s="17">
        <f t="shared" si="39"/>
        <v>60.338012435712763</v>
      </c>
      <c r="EE79" s="17">
        <f t="shared" si="39"/>
        <v>57.162360044954745</v>
      </c>
      <c r="EF79" s="17">
        <f t="shared" si="39"/>
        <v>53.986709094940558</v>
      </c>
      <c r="EG79" s="17">
        <f t="shared" si="39"/>
        <v>50.811059114282401</v>
      </c>
      <c r="EH79" s="17">
        <f t="shared" si="39"/>
        <v>47.635409620971998</v>
      </c>
    </row>
    <row r="80" spans="5:138" ht="15.6" x14ac:dyDescent="0.3">
      <c r="E80" s="25"/>
      <c r="F80" s="15">
        <v>0.08</v>
      </c>
      <c r="G80" s="17">
        <f t="shared" si="40"/>
        <v>300</v>
      </c>
      <c r="H80" s="17">
        <f t="shared" si="46"/>
        <v>293.33323995443419</v>
      </c>
      <c r="I80" s="17">
        <f t="shared" si="41"/>
        <v>286.66648093194715</v>
      </c>
      <c r="J80" s="17">
        <f t="shared" si="41"/>
        <v>279.99972394440852</v>
      </c>
      <c r="K80" s="17">
        <f t="shared" si="41"/>
        <v>273.33296998139281</v>
      </c>
      <c r="L80" s="17">
        <f t="shared" si="41"/>
        <v>266.66621999933699</v>
      </c>
      <c r="M80" s="17">
        <f t="shared" si="41"/>
        <v>259.99947491106184</v>
      </c>
      <c r="N80" s="17">
        <f t="shared" si="41"/>
        <v>253.3327355757711</v>
      </c>
      <c r="O80" s="17">
        <f t="shared" si="41"/>
        <v>246.66600278963728</v>
      </c>
      <c r="P80" s="17">
        <f t="shared" si="41"/>
        <v>239.99927727707916</v>
      </c>
      <c r="Q80" s="17">
        <f t="shared" si="41"/>
        <v>233.33255968282452</v>
      </c>
      <c r="R80" s="17">
        <f t="shared" si="41"/>
        <v>226.66585056484672</v>
      </c>
      <c r="S80" s="17">
        <f t="shared" si="41"/>
        <v>219.99915038825128</v>
      </c>
      <c r="T80" s="17">
        <f t="shared" si="41"/>
        <v>213.33245952017995</v>
      </c>
      <c r="U80" s="17">
        <f t="shared" si="41"/>
        <v>206.66577822578842</v>
      </c>
      <c r="V80" s="17">
        <f t="shared" si="41"/>
        <v>199.99910666534103</v>
      </c>
      <c r="W80" s="17">
        <f t="shared" si="41"/>
        <v>193.33244489245513</v>
      </c>
      <c r="X80" s="17">
        <f t="shared" si="41"/>
        <v>186.66579285351338</v>
      </c>
      <c r="Y80" s="17">
        <f t="shared" si="41"/>
        <v>179.99915038825139</v>
      </c>
      <c r="Z80" s="17">
        <f t="shared" si="41"/>
        <v>173.33251723151355</v>
      </c>
      <c r="AA80" s="17">
        <f t="shared" si="41"/>
        <v>166.66589301615795</v>
      </c>
      <c r="AB80" s="17">
        <f t="shared" si="41"/>
        <v>159.99927727707933</v>
      </c>
      <c r="AC80" s="17">
        <f t="shared" si="41"/>
        <v>153.33266945630425</v>
      </c>
      <c r="AD80" s="17">
        <f t="shared" si="41"/>
        <v>146.66606890910481</v>
      </c>
      <c r="AE80" s="17">
        <f t="shared" si="41"/>
        <v>139.99947491106224</v>
      </c>
      <c r="AF80" s="17">
        <f t="shared" si="41"/>
        <v>133.33288666600399</v>
      </c>
      <c r="AG80" s="17">
        <f t="shared" si="41"/>
        <v>126.66630331472645</v>
      </c>
      <c r="AH80" s="17">
        <f t="shared" si="41"/>
        <v>119.99972394440883</v>
      </c>
      <c r="AI80" s="17">
        <f t="shared" si="41"/>
        <v>113.333147598614</v>
      </c>
      <c r="AJ80" s="17">
        <f t="shared" si="41"/>
        <v>106.66657328776762</v>
      </c>
      <c r="AK80" s="17">
        <f t="shared" si="42"/>
        <v>100</v>
      </c>
      <c r="AL80" s="25"/>
      <c r="AM80" s="15">
        <v>0.08</v>
      </c>
      <c r="AN80" s="17">
        <f t="shared" si="43"/>
        <v>-538200000</v>
      </c>
      <c r="AO80" s="17">
        <f t="shared" si="37"/>
        <v>-526239832.47825491</v>
      </c>
      <c r="AP80" s="17">
        <f t="shared" si="37"/>
        <v>-514279666.79191321</v>
      </c>
      <c r="AQ80" s="17">
        <f t="shared" si="37"/>
        <v>-502319504.75626886</v>
      </c>
      <c r="AR80" s="17">
        <f t="shared" si="37"/>
        <v>-490359348.14661872</v>
      </c>
      <c r="AS80" s="17">
        <f t="shared" si="37"/>
        <v>-478399198.67881048</v>
      </c>
      <c r="AT80" s="17">
        <f t="shared" si="37"/>
        <v>-466439057.99044496</v>
      </c>
      <c r="AU80" s="17">
        <f t="shared" si="37"/>
        <v>-454478927.62293333</v>
      </c>
      <c r="AV80" s="17">
        <f t="shared" si="37"/>
        <v>-442518809.00460923</v>
      </c>
      <c r="AW80" s="17">
        <f t="shared" si="37"/>
        <v>-430558703.43507993</v>
      </c>
      <c r="AX80" s="17">
        <f t="shared" si="37"/>
        <v>-418598612.07098711</v>
      </c>
      <c r="AY80" s="17">
        <f t="shared" si="37"/>
        <v>-406638535.91333503</v>
      </c>
      <c r="AZ80" s="17">
        <f t="shared" si="37"/>
        <v>-394678475.7965228</v>
      </c>
      <c r="BA80" s="17">
        <f t="shared" si="37"/>
        <v>-382718432.37920278</v>
      </c>
      <c r="BB80" s="17">
        <f t="shared" si="37"/>
        <v>-370758406.13706434</v>
      </c>
      <c r="BC80" s="17">
        <f t="shared" si="37"/>
        <v>-358798397.35762179</v>
      </c>
      <c r="BD80" s="17">
        <f t="shared" si="37"/>
        <v>-346838406.13706446</v>
      </c>
      <c r="BE80" s="17">
        <f t="shared" si="37"/>
        <v>-334878432.37920296</v>
      </c>
      <c r="BF80" s="17">
        <f t="shared" si="37"/>
        <v>-322918475.79652297</v>
      </c>
      <c r="BG80" s="17">
        <f t="shared" si="37"/>
        <v>-310958535.91333526</v>
      </c>
      <c r="BH80" s="17">
        <f t="shared" si="37"/>
        <v>-298998612.07098734</v>
      </c>
      <c r="BI80" s="17">
        <f t="shared" si="37"/>
        <v>-287038703.43508029</v>
      </c>
      <c r="BJ80" s="17">
        <f t="shared" si="37"/>
        <v>-275078809.00460982</v>
      </c>
      <c r="BK80" s="17">
        <f t="shared" si="37"/>
        <v>-263118927.62293392</v>
      </c>
      <c r="BL80" s="17">
        <f t="shared" si="37"/>
        <v>-251159057.99044561</v>
      </c>
      <c r="BM80" s="17">
        <f t="shared" si="37"/>
        <v>-239199198.6788111</v>
      </c>
      <c r="BN80" s="17">
        <f t="shared" si="37"/>
        <v>-227239348.1466192</v>
      </c>
      <c r="BO80" s="17">
        <f t="shared" si="37"/>
        <v>-215279504.75626937</v>
      </c>
      <c r="BP80" s="17">
        <f t="shared" si="37"/>
        <v>-203319666.79191348</v>
      </c>
      <c r="BQ80" s="17">
        <f t="shared" si="37"/>
        <v>-191359832.47825509</v>
      </c>
      <c r="BR80" s="17">
        <f t="shared" si="37"/>
        <v>-179400000</v>
      </c>
      <c r="BS80" s="7"/>
      <c r="BT80" s="25"/>
      <c r="BU80" s="15">
        <v>0.08</v>
      </c>
      <c r="BV80" s="17">
        <f t="shared" si="44"/>
        <v>0.5236459037902973</v>
      </c>
      <c r="BW80" s="17">
        <f t="shared" si="44"/>
        <v>0.5236459037902973</v>
      </c>
      <c r="BX80" s="17">
        <f t="shared" si="38"/>
        <v>0.5236459037902973</v>
      </c>
      <c r="BY80" s="17">
        <f t="shared" si="38"/>
        <v>0.5236459037902973</v>
      </c>
      <c r="BZ80" s="17">
        <f t="shared" si="38"/>
        <v>0.5236459037902973</v>
      </c>
      <c r="CA80" s="17">
        <f t="shared" si="38"/>
        <v>0.5236459037902973</v>
      </c>
      <c r="CB80" s="17">
        <f t="shared" si="38"/>
        <v>0.5236459037902973</v>
      </c>
      <c r="CC80" s="17">
        <f t="shared" si="38"/>
        <v>0.5236459037902973</v>
      </c>
      <c r="CD80" s="17">
        <f t="shared" si="38"/>
        <v>0.5236459037902973</v>
      </c>
      <c r="CE80" s="17">
        <f t="shared" si="38"/>
        <v>0.5236459037902973</v>
      </c>
      <c r="CF80" s="17">
        <f t="shared" si="38"/>
        <v>0.5236459037902973</v>
      </c>
      <c r="CG80" s="17">
        <f t="shared" si="38"/>
        <v>0.5236459037902973</v>
      </c>
      <c r="CH80" s="17">
        <f t="shared" si="38"/>
        <v>0.5236459037902973</v>
      </c>
      <c r="CI80" s="17">
        <f t="shared" si="38"/>
        <v>0.5236459037902973</v>
      </c>
      <c r="CJ80" s="17">
        <f t="shared" si="38"/>
        <v>0.5236459037902973</v>
      </c>
      <c r="CK80" s="17">
        <f t="shared" si="38"/>
        <v>0.5236459037902973</v>
      </c>
      <c r="CL80" s="17">
        <f t="shared" si="38"/>
        <v>0.5236459037902973</v>
      </c>
      <c r="CM80" s="17">
        <f t="shared" si="38"/>
        <v>0.5236459037902973</v>
      </c>
      <c r="CN80" s="17">
        <f t="shared" si="38"/>
        <v>0.5236459037902973</v>
      </c>
      <c r="CO80" s="17">
        <f t="shared" si="38"/>
        <v>0.5236459037902973</v>
      </c>
      <c r="CP80" s="17">
        <f t="shared" si="38"/>
        <v>0.5236459037902973</v>
      </c>
      <c r="CQ80" s="17">
        <f t="shared" si="38"/>
        <v>0.5236459037902973</v>
      </c>
      <c r="CR80" s="17">
        <f t="shared" si="38"/>
        <v>0.5236459037902973</v>
      </c>
      <c r="CS80" s="17">
        <f t="shared" si="38"/>
        <v>0.5236459037902973</v>
      </c>
      <c r="CT80" s="17">
        <f t="shared" si="38"/>
        <v>0.5236459037902973</v>
      </c>
      <c r="CU80" s="17">
        <f t="shared" si="38"/>
        <v>0.5236459037902973</v>
      </c>
      <c r="CV80" s="17">
        <f t="shared" si="38"/>
        <v>0.5236459037902973</v>
      </c>
      <c r="CW80" s="17">
        <f t="shared" si="38"/>
        <v>0.5236459037902973</v>
      </c>
      <c r="CX80" s="17">
        <f t="shared" si="38"/>
        <v>0.5236459037902973</v>
      </c>
      <c r="CY80" s="17">
        <f t="shared" si="38"/>
        <v>0.5236459037902973</v>
      </c>
      <c r="CZ80" s="17">
        <f t="shared" si="38"/>
        <v>0.5236459037902973</v>
      </c>
      <c r="DA80" s="7"/>
      <c r="DB80" s="25"/>
      <c r="DC80" s="15">
        <v>0.08</v>
      </c>
      <c r="DD80" s="17">
        <f t="shared" si="45"/>
        <v>142.90622886291084</v>
      </c>
      <c r="DE80" s="17">
        <f t="shared" si="39"/>
        <v>139.73049040675838</v>
      </c>
      <c r="DF80" s="17">
        <f t="shared" si="39"/>
        <v>136.55475243795368</v>
      </c>
      <c r="DG80" s="17">
        <f t="shared" si="39"/>
        <v>133.37901543850498</v>
      </c>
      <c r="DH80" s="17">
        <f t="shared" si="39"/>
        <v>130.20327987980019</v>
      </c>
      <c r="DI80" s="17">
        <f t="shared" si="39"/>
        <v>127.02754621744192</v>
      </c>
      <c r="DJ80" s="17">
        <f t="shared" si="39"/>
        <v>123.85181488625615</v>
      </c>
      <c r="DK80" s="17">
        <f t="shared" si="39"/>
        <v>120.67608629552804</v>
      </c>
      <c r="DL80" s="17">
        <f t="shared" si="39"/>
        <v>117.50036082451767</v>
      </c>
      <c r="DM80" s="17">
        <f t="shared" si="39"/>
        <v>114.32463881830486</v>
      </c>
      <c r="DN80" s="17">
        <f t="shared" si="39"/>
        <v>111.14892058400838</v>
      </c>
      <c r="DO80" s="17">
        <f t="shared" si="39"/>
        <v>107.97320638742109</v>
      </c>
      <c r="DP80" s="17">
        <f t="shared" si="39"/>
        <v>104.79749645009791</v>
      </c>
      <c r="DQ80" s="17">
        <f t="shared" si="39"/>
        <v>101.62179094692831</v>
      </c>
      <c r="DR80" s="17">
        <f t="shared" si="39"/>
        <v>98.446090004220281</v>
      </c>
      <c r="DS80" s="17">
        <f t="shared" si="39"/>
        <v>95.270393698316454</v>
      </c>
      <c r="DT80" s="17">
        <f t="shared" si="39"/>
        <v>92.094702054757605</v>
      </c>
      <c r="DU80" s="17">
        <f t="shared" si="39"/>
        <v>88.919015048002947</v>
      </c>
      <c r="DV80" s="17">
        <f t="shared" si="39"/>
        <v>85.743332601709852</v>
      </c>
      <c r="DW80" s="17">
        <f t="shared" si="39"/>
        <v>82.567654589570338</v>
      </c>
      <c r="DX80" s="17">
        <f t="shared" si="39"/>
        <v>79.391980836694927</v>
      </c>
      <c r="DY80" s="17">
        <f t="shared" si="39"/>
        <v>76.216311121528761</v>
      </c>
      <c r="DZ80" s="17">
        <f t="shared" si="39"/>
        <v>73.040645178278893</v>
      </c>
      <c r="EA80" s="17">
        <f t="shared" si="39"/>
        <v>69.864982699826584</v>
      </c>
      <c r="EB80" s="17">
        <f t="shared" si="39"/>
        <v>66.689323341091992</v>
      </c>
      <c r="EC80" s="17">
        <f t="shared" si="39"/>
        <v>63.513666722815039</v>
      </c>
      <c r="ED80" s="17">
        <f t="shared" si="39"/>
        <v>60.338012435710581</v>
      </c>
      <c r="EE80" s="17">
        <f t="shared" si="39"/>
        <v>57.162360044952678</v>
      </c>
      <c r="EF80" s="17">
        <f t="shared" si="39"/>
        <v>53.986709094938604</v>
      </c>
      <c r="EG80" s="17">
        <f t="shared" si="39"/>
        <v>50.81105911428056</v>
      </c>
      <c r="EH80" s="17">
        <f t="shared" si="39"/>
        <v>47.635409620970279</v>
      </c>
    </row>
    <row r="81" spans="5:138" ht="15.6" x14ac:dyDescent="0.3">
      <c r="E81" s="25"/>
      <c r="F81" s="15">
        <v>7.6666666666666675E-2</v>
      </c>
      <c r="G81" s="17">
        <f t="shared" si="40"/>
        <v>300</v>
      </c>
      <c r="H81" s="17">
        <f t="shared" si="46"/>
        <v>293.33323995443419</v>
      </c>
      <c r="I81" s="17">
        <f t="shared" si="41"/>
        <v>286.66648093194715</v>
      </c>
      <c r="J81" s="17">
        <f t="shared" si="41"/>
        <v>279.99972394440852</v>
      </c>
      <c r="K81" s="17">
        <f t="shared" si="41"/>
        <v>273.33296998139281</v>
      </c>
      <c r="L81" s="17">
        <f t="shared" si="41"/>
        <v>266.66621999933699</v>
      </c>
      <c r="M81" s="17">
        <f t="shared" si="41"/>
        <v>259.99947491106184</v>
      </c>
      <c r="N81" s="17">
        <f t="shared" si="41"/>
        <v>253.33273557577112</v>
      </c>
      <c r="O81" s="17">
        <f t="shared" si="41"/>
        <v>246.66600278963728</v>
      </c>
      <c r="P81" s="17">
        <f t="shared" si="41"/>
        <v>239.99927727707916</v>
      </c>
      <c r="Q81" s="17">
        <f t="shared" si="41"/>
        <v>233.33255968282452</v>
      </c>
      <c r="R81" s="17">
        <f t="shared" si="41"/>
        <v>226.66585056484672</v>
      </c>
      <c r="S81" s="17">
        <f t="shared" si="41"/>
        <v>219.99915038825128</v>
      </c>
      <c r="T81" s="17">
        <f t="shared" si="41"/>
        <v>213.33245952017995</v>
      </c>
      <c r="U81" s="17">
        <f t="shared" si="41"/>
        <v>206.66577822578842</v>
      </c>
      <c r="V81" s="17">
        <f t="shared" si="41"/>
        <v>199.99910666534103</v>
      </c>
      <c r="W81" s="17">
        <f t="shared" si="41"/>
        <v>193.33244489245513</v>
      </c>
      <c r="X81" s="17">
        <f t="shared" si="41"/>
        <v>186.66579285351338</v>
      </c>
      <c r="Y81" s="17">
        <f t="shared" si="41"/>
        <v>179.99915038825139</v>
      </c>
      <c r="Z81" s="17">
        <f t="shared" si="41"/>
        <v>173.33251723151355</v>
      </c>
      <c r="AA81" s="17">
        <f t="shared" si="41"/>
        <v>166.66589301615795</v>
      </c>
      <c r="AB81" s="17">
        <f t="shared" si="41"/>
        <v>159.99927727707933</v>
      </c>
      <c r="AC81" s="17">
        <f t="shared" si="41"/>
        <v>153.33266945630425</v>
      </c>
      <c r="AD81" s="17">
        <f t="shared" si="41"/>
        <v>146.66606890910478</v>
      </c>
      <c r="AE81" s="17">
        <f t="shared" si="41"/>
        <v>139.99947491106224</v>
      </c>
      <c r="AF81" s="17">
        <f t="shared" si="41"/>
        <v>133.33288666600399</v>
      </c>
      <c r="AG81" s="17">
        <f t="shared" si="41"/>
        <v>126.66630331472646</v>
      </c>
      <c r="AH81" s="17">
        <f t="shared" si="41"/>
        <v>119.99972394440883</v>
      </c>
      <c r="AI81" s="17">
        <f t="shared" si="41"/>
        <v>113.333147598614</v>
      </c>
      <c r="AJ81" s="17">
        <f t="shared" si="41"/>
        <v>106.66657328776763</v>
      </c>
      <c r="AK81" s="17">
        <f t="shared" si="42"/>
        <v>100</v>
      </c>
      <c r="AL81" s="25"/>
      <c r="AM81" s="15">
        <v>7.6666666666666675E-2</v>
      </c>
      <c r="AN81" s="17">
        <f t="shared" si="43"/>
        <v>-538200000</v>
      </c>
      <c r="AO81" s="17">
        <f t="shared" si="37"/>
        <v>-526239832.47825491</v>
      </c>
      <c r="AP81" s="17">
        <f t="shared" si="37"/>
        <v>-514279666.79191321</v>
      </c>
      <c r="AQ81" s="17">
        <f t="shared" si="37"/>
        <v>-502319504.75626886</v>
      </c>
      <c r="AR81" s="17">
        <f t="shared" si="37"/>
        <v>-490359348.14661872</v>
      </c>
      <c r="AS81" s="17">
        <f t="shared" si="37"/>
        <v>-478399198.67881048</v>
      </c>
      <c r="AT81" s="17">
        <f t="shared" si="37"/>
        <v>-466439057.99044496</v>
      </c>
      <c r="AU81" s="17">
        <f t="shared" si="37"/>
        <v>-454478927.62293333</v>
      </c>
      <c r="AV81" s="17">
        <f t="shared" si="37"/>
        <v>-442518809.00460929</v>
      </c>
      <c r="AW81" s="17">
        <f t="shared" si="37"/>
        <v>-430558703.43507993</v>
      </c>
      <c r="AX81" s="17">
        <f t="shared" si="37"/>
        <v>-418598612.07098711</v>
      </c>
      <c r="AY81" s="17">
        <f t="shared" si="37"/>
        <v>-406638535.91333503</v>
      </c>
      <c r="AZ81" s="17">
        <f t="shared" si="37"/>
        <v>-394678475.7965228</v>
      </c>
      <c r="BA81" s="17">
        <f t="shared" si="37"/>
        <v>-382718432.37920278</v>
      </c>
      <c r="BB81" s="17">
        <f t="shared" si="37"/>
        <v>-370758406.13706434</v>
      </c>
      <c r="BC81" s="17">
        <f t="shared" si="37"/>
        <v>-358798397.35762179</v>
      </c>
      <c r="BD81" s="17">
        <f t="shared" si="37"/>
        <v>-346838406.13706446</v>
      </c>
      <c r="BE81" s="17">
        <f t="shared" si="37"/>
        <v>-334878432.37920302</v>
      </c>
      <c r="BF81" s="17">
        <f t="shared" si="37"/>
        <v>-322918475.79652297</v>
      </c>
      <c r="BG81" s="17">
        <f t="shared" si="37"/>
        <v>-310958535.91333526</v>
      </c>
      <c r="BH81" s="17">
        <f t="shared" si="37"/>
        <v>-298998612.07098734</v>
      </c>
      <c r="BI81" s="17">
        <f t="shared" si="37"/>
        <v>-287038703.43508029</v>
      </c>
      <c r="BJ81" s="17">
        <f t="shared" si="37"/>
        <v>-275078809.00460976</v>
      </c>
      <c r="BK81" s="17">
        <f t="shared" si="37"/>
        <v>-263118927.62293392</v>
      </c>
      <c r="BL81" s="17">
        <f t="shared" si="37"/>
        <v>-251159057.99044561</v>
      </c>
      <c r="BM81" s="17">
        <f t="shared" si="37"/>
        <v>-239199198.6788111</v>
      </c>
      <c r="BN81" s="17">
        <f t="shared" si="37"/>
        <v>-227239348.14661923</v>
      </c>
      <c r="BO81" s="17">
        <f t="shared" si="37"/>
        <v>-215279504.7562694</v>
      </c>
      <c r="BP81" s="17">
        <f t="shared" si="37"/>
        <v>-203319666.79191351</v>
      </c>
      <c r="BQ81" s="17">
        <f t="shared" si="37"/>
        <v>-191359832.47825512</v>
      </c>
      <c r="BR81" s="17">
        <f t="shared" si="37"/>
        <v>-179400000</v>
      </c>
      <c r="BS81" s="7"/>
      <c r="BT81" s="25"/>
      <c r="BU81" s="15">
        <v>7.6666666666666675E-2</v>
      </c>
      <c r="BV81" s="17">
        <f t="shared" si="44"/>
        <v>0.52364590379036002</v>
      </c>
      <c r="BW81" s="17">
        <f t="shared" si="44"/>
        <v>0.52364590379036002</v>
      </c>
      <c r="BX81" s="17">
        <f t="shared" si="38"/>
        <v>0.52364590379036002</v>
      </c>
      <c r="BY81" s="17">
        <f t="shared" si="38"/>
        <v>0.52364590379036002</v>
      </c>
      <c r="BZ81" s="17">
        <f t="shared" si="38"/>
        <v>0.52364590379036002</v>
      </c>
      <c r="CA81" s="17">
        <f t="shared" si="38"/>
        <v>0.52364590379036002</v>
      </c>
      <c r="CB81" s="17">
        <f t="shared" si="38"/>
        <v>0.52364590379036002</v>
      </c>
      <c r="CC81" s="17">
        <f t="shared" si="38"/>
        <v>0.52364590379036002</v>
      </c>
      <c r="CD81" s="17">
        <f t="shared" si="38"/>
        <v>0.52364590379036002</v>
      </c>
      <c r="CE81" s="17">
        <f t="shared" si="38"/>
        <v>0.52364590379036002</v>
      </c>
      <c r="CF81" s="17">
        <f t="shared" si="38"/>
        <v>0.52364590379036002</v>
      </c>
      <c r="CG81" s="17">
        <f t="shared" si="38"/>
        <v>0.52364590379036002</v>
      </c>
      <c r="CH81" s="17">
        <f t="shared" si="38"/>
        <v>0.52364590379036002</v>
      </c>
      <c r="CI81" s="17">
        <f t="shared" si="38"/>
        <v>0.52364590379036002</v>
      </c>
      <c r="CJ81" s="17">
        <f t="shared" si="38"/>
        <v>0.52364590379036002</v>
      </c>
      <c r="CK81" s="17">
        <f t="shared" si="38"/>
        <v>0.52364590379036002</v>
      </c>
      <c r="CL81" s="17">
        <f t="shared" si="38"/>
        <v>0.52364590379036002</v>
      </c>
      <c r="CM81" s="17">
        <f t="shared" si="38"/>
        <v>0.52364590379036002</v>
      </c>
      <c r="CN81" s="17">
        <f t="shared" si="38"/>
        <v>0.52364590379036002</v>
      </c>
      <c r="CO81" s="17">
        <f t="shared" si="38"/>
        <v>0.52364590379036002</v>
      </c>
      <c r="CP81" s="17">
        <f t="shared" si="38"/>
        <v>0.52364590379036002</v>
      </c>
      <c r="CQ81" s="17">
        <f t="shared" si="38"/>
        <v>0.52364590379036002</v>
      </c>
      <c r="CR81" s="17">
        <f t="shared" si="38"/>
        <v>0.52364590379036002</v>
      </c>
      <c r="CS81" s="17">
        <f t="shared" si="38"/>
        <v>0.52364590379036002</v>
      </c>
      <c r="CT81" s="17">
        <f t="shared" si="38"/>
        <v>0.52364590379036002</v>
      </c>
      <c r="CU81" s="17">
        <f t="shared" si="38"/>
        <v>0.52364590379036002</v>
      </c>
      <c r="CV81" s="17">
        <f t="shared" si="38"/>
        <v>0.52364590379036002</v>
      </c>
      <c r="CW81" s="17">
        <f t="shared" si="38"/>
        <v>0.52364590379036002</v>
      </c>
      <c r="CX81" s="17">
        <f t="shared" si="38"/>
        <v>0.52364590379036002</v>
      </c>
      <c r="CY81" s="17">
        <f t="shared" si="38"/>
        <v>0.52364590379036002</v>
      </c>
      <c r="CZ81" s="17">
        <f t="shared" si="38"/>
        <v>0.52364590379036002</v>
      </c>
      <c r="DA81" s="7"/>
      <c r="DB81" s="25"/>
      <c r="DC81" s="15">
        <v>7.6666666666666675E-2</v>
      </c>
      <c r="DD81" s="17">
        <f t="shared" si="45"/>
        <v>142.90622886289202</v>
      </c>
      <c r="DE81" s="17">
        <f t="shared" si="39"/>
        <v>139.73049040673996</v>
      </c>
      <c r="DF81" s="17">
        <f t="shared" si="39"/>
        <v>136.55475243793569</v>
      </c>
      <c r="DG81" s="17">
        <f t="shared" si="39"/>
        <v>133.37901543848741</v>
      </c>
      <c r="DH81" s="17">
        <f t="shared" si="39"/>
        <v>130.20327987978305</v>
      </c>
      <c r="DI81" s="17">
        <f t="shared" si="39"/>
        <v>127.02754621742518</v>
      </c>
      <c r="DJ81" s="17">
        <f t="shared" si="39"/>
        <v>123.85181488623985</v>
      </c>
      <c r="DK81" s="17">
        <f t="shared" si="39"/>
        <v>120.67608629551216</v>
      </c>
      <c r="DL81" s="17">
        <f t="shared" si="39"/>
        <v>117.5003608245022</v>
      </c>
      <c r="DM81" s="17">
        <f t="shared" si="39"/>
        <v>114.32463881828981</v>
      </c>
      <c r="DN81" s="17">
        <f t="shared" si="39"/>
        <v>111.14892058399374</v>
      </c>
      <c r="DO81" s="17">
        <f t="shared" si="39"/>
        <v>107.97320638740686</v>
      </c>
      <c r="DP81" s="17">
        <f t="shared" si="39"/>
        <v>104.79749645008411</v>
      </c>
      <c r="DQ81" s="17">
        <f t="shared" si="39"/>
        <v>101.62179094691491</v>
      </c>
      <c r="DR81" s="17">
        <f t="shared" si="39"/>
        <v>98.446090004207321</v>
      </c>
      <c r="DS81" s="17">
        <f t="shared" si="39"/>
        <v>95.270393698303906</v>
      </c>
      <c r="DT81" s="17">
        <f t="shared" si="39"/>
        <v>92.094702054745483</v>
      </c>
      <c r="DU81" s="17">
        <f t="shared" si="39"/>
        <v>88.919015047991238</v>
      </c>
      <c r="DV81" s="17">
        <f t="shared" si="39"/>
        <v>85.743332601698569</v>
      </c>
      <c r="DW81" s="17">
        <f t="shared" si="39"/>
        <v>82.567654589559481</v>
      </c>
      <c r="DX81" s="17">
        <f t="shared" si="39"/>
        <v>79.391980836684482</v>
      </c>
      <c r="DY81" s="17">
        <f t="shared" si="39"/>
        <v>76.216311121518714</v>
      </c>
      <c r="DZ81" s="17">
        <f t="shared" si="39"/>
        <v>73.040645178269273</v>
      </c>
      <c r="EA81" s="17">
        <f t="shared" si="39"/>
        <v>69.864982699817375</v>
      </c>
      <c r="EB81" s="17">
        <f t="shared" si="39"/>
        <v>66.68932334108321</v>
      </c>
      <c r="EC81" s="17">
        <f t="shared" si="39"/>
        <v>63.513666722806683</v>
      </c>
      <c r="ED81" s="17">
        <f t="shared" si="39"/>
        <v>60.338012435702645</v>
      </c>
      <c r="EE81" s="17">
        <f t="shared" si="39"/>
        <v>57.162360044945153</v>
      </c>
      <c r="EF81" s="17">
        <f t="shared" si="39"/>
        <v>53.986709094931506</v>
      </c>
      <c r="EG81" s="17">
        <f t="shared" si="39"/>
        <v>50.811059114273881</v>
      </c>
      <c r="EH81" s="17">
        <f t="shared" si="39"/>
        <v>47.635409620964005</v>
      </c>
    </row>
    <row r="82" spans="5:138" ht="15.6" x14ac:dyDescent="0.3">
      <c r="E82" s="25"/>
      <c r="F82" s="15">
        <v>7.3333333333333334E-2</v>
      </c>
      <c r="G82" s="17">
        <f t="shared" si="40"/>
        <v>300</v>
      </c>
      <c r="H82" s="17">
        <f t="shared" si="46"/>
        <v>293.33323995443425</v>
      </c>
      <c r="I82" s="17">
        <f t="shared" si="41"/>
        <v>286.66648093194715</v>
      </c>
      <c r="J82" s="17">
        <f t="shared" si="41"/>
        <v>279.99972394440852</v>
      </c>
      <c r="K82" s="17">
        <f t="shared" si="41"/>
        <v>273.33296998139281</v>
      </c>
      <c r="L82" s="17">
        <f t="shared" si="41"/>
        <v>266.66621999933699</v>
      </c>
      <c r="M82" s="17">
        <f t="shared" si="41"/>
        <v>259.99947491106184</v>
      </c>
      <c r="N82" s="17">
        <f t="shared" si="41"/>
        <v>253.3327355757711</v>
      </c>
      <c r="O82" s="17">
        <f t="shared" si="41"/>
        <v>246.66600278963725</v>
      </c>
      <c r="P82" s="17">
        <f t="shared" si="41"/>
        <v>239.9992772770791</v>
      </c>
      <c r="Q82" s="17">
        <f t="shared" si="41"/>
        <v>233.33255968282447</v>
      </c>
      <c r="R82" s="17">
        <f t="shared" si="41"/>
        <v>226.66585056484666</v>
      </c>
      <c r="S82" s="17">
        <f t="shared" si="41"/>
        <v>219.99915038825125</v>
      </c>
      <c r="T82" s="17">
        <f t="shared" si="41"/>
        <v>213.3324595201799</v>
      </c>
      <c r="U82" s="17">
        <f t="shared" si="41"/>
        <v>206.66577822578842</v>
      </c>
      <c r="V82" s="17">
        <f t="shared" si="41"/>
        <v>199.999106665341</v>
      </c>
      <c r="W82" s="17">
        <f t="shared" si="41"/>
        <v>193.3324448924551</v>
      </c>
      <c r="X82" s="17">
        <f t="shared" si="41"/>
        <v>186.66579285351338</v>
      </c>
      <c r="Y82" s="17">
        <f t="shared" si="41"/>
        <v>179.99915038825139</v>
      </c>
      <c r="Z82" s="17">
        <f t="shared" si="41"/>
        <v>173.33251723151352</v>
      </c>
      <c r="AA82" s="17">
        <f t="shared" si="41"/>
        <v>166.66589301615795</v>
      </c>
      <c r="AB82" s="17">
        <f t="shared" si="41"/>
        <v>159.99927727707933</v>
      </c>
      <c r="AC82" s="17">
        <f t="shared" si="41"/>
        <v>153.33266945630425</v>
      </c>
      <c r="AD82" s="17">
        <f t="shared" si="41"/>
        <v>146.66606890910478</v>
      </c>
      <c r="AE82" s="17">
        <f t="shared" si="41"/>
        <v>139.99947491106224</v>
      </c>
      <c r="AF82" s="17">
        <f t="shared" si="41"/>
        <v>133.33288666600396</v>
      </c>
      <c r="AG82" s="17">
        <f t="shared" si="41"/>
        <v>126.66630331472645</v>
      </c>
      <c r="AH82" s="17">
        <f t="shared" si="41"/>
        <v>119.9997239444088</v>
      </c>
      <c r="AI82" s="17">
        <f t="shared" si="41"/>
        <v>113.333147598614</v>
      </c>
      <c r="AJ82" s="17">
        <f t="shared" si="41"/>
        <v>106.66657328776763</v>
      </c>
      <c r="AK82" s="17">
        <f t="shared" si="42"/>
        <v>100</v>
      </c>
      <c r="AL82" s="25"/>
      <c r="AM82" s="15">
        <v>7.3333333333333334E-2</v>
      </c>
      <c r="AN82" s="17">
        <f t="shared" si="43"/>
        <v>-538200000</v>
      </c>
      <c r="AO82" s="17">
        <f t="shared" si="37"/>
        <v>-526239832.47825491</v>
      </c>
      <c r="AP82" s="17">
        <f t="shared" si="37"/>
        <v>-514279666.79191321</v>
      </c>
      <c r="AQ82" s="17">
        <f t="shared" si="37"/>
        <v>-502319504.75626886</v>
      </c>
      <c r="AR82" s="17">
        <f t="shared" si="37"/>
        <v>-490359348.14661872</v>
      </c>
      <c r="AS82" s="17">
        <f t="shared" si="37"/>
        <v>-478399198.67881048</v>
      </c>
      <c r="AT82" s="17">
        <f t="shared" si="37"/>
        <v>-466439057.99044496</v>
      </c>
      <c r="AU82" s="17">
        <f t="shared" si="37"/>
        <v>-454478927.62293327</v>
      </c>
      <c r="AV82" s="17">
        <f t="shared" si="37"/>
        <v>-442518809.00460917</v>
      </c>
      <c r="AW82" s="17">
        <f t="shared" si="37"/>
        <v>-430558703.43507987</v>
      </c>
      <c r="AX82" s="17">
        <f t="shared" si="37"/>
        <v>-418598612.07098705</v>
      </c>
      <c r="AY82" s="17">
        <f t="shared" si="37"/>
        <v>-406638535.91333491</v>
      </c>
      <c r="AZ82" s="17">
        <f t="shared" si="37"/>
        <v>-394678475.79652268</v>
      </c>
      <c r="BA82" s="17">
        <f t="shared" si="37"/>
        <v>-382718432.37920272</v>
      </c>
      <c r="BB82" s="17">
        <f t="shared" si="37"/>
        <v>-370758406.13706434</v>
      </c>
      <c r="BC82" s="17">
        <f t="shared" si="37"/>
        <v>-358798397.35762179</v>
      </c>
      <c r="BD82" s="17">
        <f t="shared" ref="BD82:BR98" si="47">-($B$12*$B$11)/$B$8*W47</f>
        <v>-346838406.13706446</v>
      </c>
      <c r="BE82" s="17">
        <f t="shared" si="47"/>
        <v>-334878432.37920296</v>
      </c>
      <c r="BF82" s="17">
        <f t="shared" si="47"/>
        <v>-322918475.79652297</v>
      </c>
      <c r="BG82" s="17">
        <f t="shared" si="47"/>
        <v>-310958535.91333526</v>
      </c>
      <c r="BH82" s="17">
        <f t="shared" si="47"/>
        <v>-298998612.07098734</v>
      </c>
      <c r="BI82" s="17">
        <f t="shared" si="47"/>
        <v>-287038703.43508029</v>
      </c>
      <c r="BJ82" s="17">
        <f t="shared" si="47"/>
        <v>-275078809.00460976</v>
      </c>
      <c r="BK82" s="17">
        <f t="shared" si="47"/>
        <v>-263118927.62293392</v>
      </c>
      <c r="BL82" s="17">
        <f t="shared" si="47"/>
        <v>-251159057.99044561</v>
      </c>
      <c r="BM82" s="17">
        <f t="shared" si="47"/>
        <v>-239199198.6788111</v>
      </c>
      <c r="BN82" s="17">
        <f t="shared" si="47"/>
        <v>-227239348.14661923</v>
      </c>
      <c r="BO82" s="17">
        <f t="shared" si="47"/>
        <v>-215279504.7562694</v>
      </c>
      <c r="BP82" s="17">
        <f t="shared" si="47"/>
        <v>-203319666.79191351</v>
      </c>
      <c r="BQ82" s="17">
        <f t="shared" si="47"/>
        <v>-191359832.47825512</v>
      </c>
      <c r="BR82" s="17">
        <f t="shared" si="47"/>
        <v>-179400000</v>
      </c>
      <c r="BS82" s="7"/>
      <c r="BT82" s="25"/>
      <c r="BU82" s="15">
        <v>7.3333333333333334E-2</v>
      </c>
      <c r="BV82" s="17">
        <f t="shared" si="44"/>
        <v>0.52364590379058873</v>
      </c>
      <c r="BW82" s="17">
        <f t="shared" si="44"/>
        <v>0.52364590379058873</v>
      </c>
      <c r="BX82" s="17">
        <f t="shared" si="38"/>
        <v>0.52364590379058873</v>
      </c>
      <c r="BY82" s="17">
        <f t="shared" si="38"/>
        <v>0.52364590379058873</v>
      </c>
      <c r="BZ82" s="17">
        <f t="shared" si="38"/>
        <v>0.52364590379058873</v>
      </c>
      <c r="CA82" s="17">
        <f t="shared" si="38"/>
        <v>0.52364590379058873</v>
      </c>
      <c r="CB82" s="17">
        <f t="shared" si="38"/>
        <v>0.52364590379058873</v>
      </c>
      <c r="CC82" s="17">
        <f t="shared" si="38"/>
        <v>0.52364590379058873</v>
      </c>
      <c r="CD82" s="17">
        <f t="shared" si="38"/>
        <v>0.52364590379058873</v>
      </c>
      <c r="CE82" s="17">
        <f t="shared" si="38"/>
        <v>0.52364590379058873</v>
      </c>
      <c r="CF82" s="17">
        <f t="shared" si="38"/>
        <v>0.52364590379058873</v>
      </c>
      <c r="CG82" s="17">
        <f t="shared" si="38"/>
        <v>0.52364590379058873</v>
      </c>
      <c r="CH82" s="17">
        <f t="shared" si="38"/>
        <v>0.52364590379058873</v>
      </c>
      <c r="CI82" s="17">
        <f t="shared" si="38"/>
        <v>0.52364590379058873</v>
      </c>
      <c r="CJ82" s="17">
        <f t="shared" si="38"/>
        <v>0.52364590379058873</v>
      </c>
      <c r="CK82" s="17">
        <f t="shared" si="38"/>
        <v>0.52364590379058873</v>
      </c>
      <c r="CL82" s="17">
        <f t="shared" si="38"/>
        <v>0.52364590379058873</v>
      </c>
      <c r="CM82" s="17">
        <f t="shared" si="38"/>
        <v>0.52364590379058873</v>
      </c>
      <c r="CN82" s="17">
        <f t="shared" si="38"/>
        <v>0.52364590379058873</v>
      </c>
      <c r="CO82" s="17">
        <f t="shared" si="38"/>
        <v>0.52364590379058873</v>
      </c>
      <c r="CP82" s="17">
        <f t="shared" si="38"/>
        <v>0.52364590379058873</v>
      </c>
      <c r="CQ82" s="17">
        <f t="shared" si="38"/>
        <v>0.52364590379058873</v>
      </c>
      <c r="CR82" s="17">
        <f t="shared" si="38"/>
        <v>0.52364590379058873</v>
      </c>
      <c r="CS82" s="17">
        <f t="shared" si="38"/>
        <v>0.52364590379058873</v>
      </c>
      <c r="CT82" s="17">
        <f t="shared" si="38"/>
        <v>0.52364590379058873</v>
      </c>
      <c r="CU82" s="17">
        <f t="shared" ref="CU82:CZ103" si="48">$B$20/($B$21-$B$22*CU83)</f>
        <v>0.52364590379058873</v>
      </c>
      <c r="CV82" s="17">
        <f t="shared" si="48"/>
        <v>0.52364590379058873</v>
      </c>
      <c r="CW82" s="17">
        <f t="shared" si="48"/>
        <v>0.52364590379058873</v>
      </c>
      <c r="CX82" s="17">
        <f t="shared" si="48"/>
        <v>0.52364590379058873</v>
      </c>
      <c r="CY82" s="17">
        <f t="shared" si="48"/>
        <v>0.52364590379058873</v>
      </c>
      <c r="CZ82" s="17">
        <f t="shared" si="48"/>
        <v>0.52364590379058873</v>
      </c>
      <c r="DA82" s="7"/>
      <c r="DB82" s="25"/>
      <c r="DC82" s="15">
        <v>7.3333333333333334E-2</v>
      </c>
      <c r="DD82" s="17">
        <f t="shared" si="45"/>
        <v>142.90622886282338</v>
      </c>
      <c r="DE82" s="17">
        <f t="shared" si="39"/>
        <v>139.73049040667289</v>
      </c>
      <c r="DF82" s="17">
        <f t="shared" si="39"/>
        <v>136.55475243787012</v>
      </c>
      <c r="DG82" s="17">
        <f t="shared" si="39"/>
        <v>133.37901543842338</v>
      </c>
      <c r="DH82" s="17">
        <f t="shared" si="39"/>
        <v>130.20327987972053</v>
      </c>
      <c r="DI82" s="17">
        <f t="shared" si="39"/>
        <v>127.02754621736419</v>
      </c>
      <c r="DJ82" s="17">
        <f t="shared" si="39"/>
        <v>123.85181488618038</v>
      </c>
      <c r="DK82" s="17">
        <f t="shared" si="39"/>
        <v>120.6760862954542</v>
      </c>
      <c r="DL82" s="17">
        <f t="shared" si="39"/>
        <v>117.50036082444575</v>
      </c>
      <c r="DM82" s="17">
        <f>(DM83*$B$22-AW82)/($B$21-$B$22*CE83)</f>
        <v>114.3246388182349</v>
      </c>
      <c r="DN82" s="17">
        <f t="shared" si="39"/>
        <v>111.14892058394035</v>
      </c>
      <c r="DO82" s="17">
        <f t="shared" si="39"/>
        <v>107.97320638735499</v>
      </c>
      <c r="DP82" s="17">
        <f t="shared" si="39"/>
        <v>104.79749645003376</v>
      </c>
      <c r="DQ82" s="17">
        <f t="shared" si="39"/>
        <v>101.6217909468661</v>
      </c>
      <c r="DR82" s="17">
        <f t="shared" si="39"/>
        <v>98.446090004160055</v>
      </c>
      <c r="DS82" s="17">
        <f t="shared" si="39"/>
        <v>95.270393698258161</v>
      </c>
      <c r="DT82" s="17">
        <f t="shared" si="39"/>
        <v>92.094702054701258</v>
      </c>
      <c r="DU82" s="17">
        <f t="shared" ref="DU82:EH100" si="49">(DU83*$B$22-BE82)/($B$21-$B$22*CM83)</f>
        <v>88.919015047948534</v>
      </c>
      <c r="DV82" s="17">
        <f t="shared" si="49"/>
        <v>85.7433326016574</v>
      </c>
      <c r="DW82" s="17">
        <f t="shared" si="49"/>
        <v>82.567654589519833</v>
      </c>
      <c r="DX82" s="17">
        <f t="shared" si="49"/>
        <v>79.391980836646354</v>
      </c>
      <c r="DY82" s="17">
        <f t="shared" si="49"/>
        <v>76.216311121482107</v>
      </c>
      <c r="DZ82" s="17">
        <f t="shared" si="49"/>
        <v>73.0406451782342</v>
      </c>
      <c r="EA82" s="17">
        <f t="shared" si="49"/>
        <v>69.864982699783837</v>
      </c>
      <c r="EB82" s="17">
        <f t="shared" si="49"/>
        <v>66.689323341051193</v>
      </c>
      <c r="EC82" s="17">
        <f t="shared" si="49"/>
        <v>63.513666722776179</v>
      </c>
      <c r="ED82" s="17">
        <f t="shared" si="49"/>
        <v>60.338012435673662</v>
      </c>
      <c r="EE82" s="17">
        <f t="shared" si="49"/>
        <v>57.162360044917698</v>
      </c>
      <c r="EF82" s="17">
        <f t="shared" si="49"/>
        <v>53.986709094905585</v>
      </c>
      <c r="EG82" s="17">
        <f t="shared" si="49"/>
        <v>50.811059114249481</v>
      </c>
      <c r="EH82" s="17">
        <f t="shared" si="49"/>
        <v>47.635409620941132</v>
      </c>
    </row>
    <row r="83" spans="5:138" ht="15.6" x14ac:dyDescent="0.3">
      <c r="E83" s="25"/>
      <c r="F83" s="15">
        <v>7.0000000000000007E-2</v>
      </c>
      <c r="G83" s="17">
        <f t="shared" si="40"/>
        <v>300</v>
      </c>
      <c r="H83" s="17">
        <f t="shared" si="46"/>
        <v>293.33323995443425</v>
      </c>
      <c r="I83" s="17">
        <f t="shared" si="41"/>
        <v>286.66648093194715</v>
      </c>
      <c r="J83" s="17">
        <f t="shared" si="41"/>
        <v>279.99972394440852</v>
      </c>
      <c r="K83" s="17">
        <f t="shared" si="41"/>
        <v>273.33296998139281</v>
      </c>
      <c r="L83" s="17">
        <f t="shared" si="41"/>
        <v>266.66621999933693</v>
      </c>
      <c r="M83" s="17">
        <f t="shared" si="41"/>
        <v>259.99947491106184</v>
      </c>
      <c r="N83" s="17">
        <f t="shared" si="41"/>
        <v>253.3327355757711</v>
      </c>
      <c r="O83" s="17">
        <f t="shared" si="41"/>
        <v>246.66600278963722</v>
      </c>
      <c r="P83" s="17">
        <f t="shared" si="41"/>
        <v>239.99927727707905</v>
      </c>
      <c r="Q83" s="17">
        <f t="shared" si="41"/>
        <v>233.33255968282444</v>
      </c>
      <c r="R83" s="17">
        <f t="shared" si="41"/>
        <v>226.66585056484664</v>
      </c>
      <c r="S83" s="17">
        <f t="shared" si="41"/>
        <v>219.99915038825122</v>
      </c>
      <c r="T83" s="17">
        <f t="shared" si="41"/>
        <v>213.33245952017987</v>
      </c>
      <c r="U83" s="17">
        <f t="shared" si="41"/>
        <v>206.66577822578836</v>
      </c>
      <c r="V83" s="17">
        <f t="shared" si="41"/>
        <v>199.999106665341</v>
      </c>
      <c r="W83" s="17">
        <f t="shared" si="41"/>
        <v>193.3324448924551</v>
      </c>
      <c r="X83" s="17">
        <f t="shared" si="41"/>
        <v>186.66579285351332</v>
      </c>
      <c r="Y83" s="17">
        <f t="shared" si="41"/>
        <v>179.99915038825139</v>
      </c>
      <c r="Z83" s="17">
        <f t="shared" si="41"/>
        <v>173.33251723151349</v>
      </c>
      <c r="AA83" s="17">
        <f t="shared" si="41"/>
        <v>166.66589301615795</v>
      </c>
      <c r="AB83" s="17">
        <f t="shared" si="41"/>
        <v>159.9992772770793</v>
      </c>
      <c r="AC83" s="17">
        <f t="shared" si="41"/>
        <v>153.33266945630425</v>
      </c>
      <c r="AD83" s="17">
        <f t="shared" si="41"/>
        <v>146.66606890910475</v>
      </c>
      <c r="AE83" s="17">
        <f t="shared" si="41"/>
        <v>139.99947491106224</v>
      </c>
      <c r="AF83" s="17">
        <f t="shared" si="41"/>
        <v>133.33288666600396</v>
      </c>
      <c r="AG83" s="17">
        <f t="shared" si="41"/>
        <v>126.66630331472643</v>
      </c>
      <c r="AH83" s="17">
        <f t="shared" si="41"/>
        <v>119.99972394440879</v>
      </c>
      <c r="AI83" s="17">
        <f t="shared" si="41"/>
        <v>113.33314759861399</v>
      </c>
      <c r="AJ83" s="17">
        <f t="shared" si="41"/>
        <v>106.66657328776762</v>
      </c>
      <c r="AK83" s="17">
        <f t="shared" si="42"/>
        <v>100</v>
      </c>
      <c r="AL83" s="25"/>
      <c r="AM83" s="15">
        <v>7.0000000000000007E-2</v>
      </c>
      <c r="AN83" s="17">
        <f t="shared" si="43"/>
        <v>-538200000</v>
      </c>
      <c r="AO83" s="17">
        <f t="shared" si="43"/>
        <v>-526239832.47825491</v>
      </c>
      <c r="AP83" s="17">
        <f t="shared" si="43"/>
        <v>-514279666.79191321</v>
      </c>
      <c r="AQ83" s="17">
        <f t="shared" si="43"/>
        <v>-502319504.75626886</v>
      </c>
      <c r="AR83" s="17">
        <f t="shared" si="43"/>
        <v>-490359348.14661872</v>
      </c>
      <c r="AS83" s="17">
        <f t="shared" si="43"/>
        <v>-478399198.67881048</v>
      </c>
      <c r="AT83" s="17">
        <f t="shared" si="43"/>
        <v>-466439057.99044496</v>
      </c>
      <c r="AU83" s="17">
        <f t="shared" si="43"/>
        <v>-454478927.62293327</v>
      </c>
      <c r="AV83" s="17">
        <f t="shared" si="43"/>
        <v>-442518809.00460917</v>
      </c>
      <c r="AW83" s="17">
        <f t="shared" si="43"/>
        <v>-430558703.43507981</v>
      </c>
      <c r="AX83" s="17">
        <f t="shared" si="43"/>
        <v>-418598612.07098699</v>
      </c>
      <c r="AY83" s="17">
        <f t="shared" si="43"/>
        <v>-406638535.91333491</v>
      </c>
      <c r="AZ83" s="17">
        <f t="shared" si="43"/>
        <v>-394678475.79652268</v>
      </c>
      <c r="BA83" s="17">
        <f t="shared" si="43"/>
        <v>-382718432.37920272</v>
      </c>
      <c r="BB83" s="17">
        <f t="shared" si="43"/>
        <v>-370758406.13706434</v>
      </c>
      <c r="BC83" s="17">
        <f t="shared" si="43"/>
        <v>-358798397.35762179</v>
      </c>
      <c r="BD83" s="17">
        <f t="shared" si="47"/>
        <v>-346838406.13706446</v>
      </c>
      <c r="BE83" s="17">
        <f t="shared" si="47"/>
        <v>-334878432.37920296</v>
      </c>
      <c r="BF83" s="17">
        <f t="shared" si="47"/>
        <v>-322918475.79652297</v>
      </c>
      <c r="BG83" s="17">
        <f t="shared" si="47"/>
        <v>-310958535.91333526</v>
      </c>
      <c r="BH83" s="17">
        <f t="shared" si="47"/>
        <v>-298998612.07098734</v>
      </c>
      <c r="BI83" s="17">
        <f t="shared" si="47"/>
        <v>-287038703.43508029</v>
      </c>
      <c r="BJ83" s="17">
        <f t="shared" si="47"/>
        <v>-275078809.00460976</v>
      </c>
      <c r="BK83" s="17">
        <f t="shared" si="47"/>
        <v>-263118927.62293392</v>
      </c>
      <c r="BL83" s="17">
        <f t="shared" si="47"/>
        <v>-251159057.99044561</v>
      </c>
      <c r="BM83" s="17">
        <f t="shared" si="47"/>
        <v>-239199198.6788111</v>
      </c>
      <c r="BN83" s="17">
        <f t="shared" si="47"/>
        <v>-227239348.14661917</v>
      </c>
      <c r="BO83" s="17">
        <f t="shared" si="47"/>
        <v>-215279504.75626934</v>
      </c>
      <c r="BP83" s="17">
        <f t="shared" si="47"/>
        <v>-203319666.79191348</v>
      </c>
      <c r="BQ83" s="17">
        <f t="shared" si="47"/>
        <v>-191359832.47825509</v>
      </c>
      <c r="BR83" s="17">
        <f t="shared" si="47"/>
        <v>-179400000</v>
      </c>
      <c r="BS83" s="7"/>
      <c r="BT83" s="25"/>
      <c r="BU83" s="15">
        <v>7.0000000000000007E-2</v>
      </c>
      <c r="BV83" s="17">
        <f t="shared" si="44"/>
        <v>0.52364590379142284</v>
      </c>
      <c r="BW83" s="17">
        <f t="shared" si="44"/>
        <v>0.52364590379142284</v>
      </c>
      <c r="BX83" s="17">
        <f t="shared" si="44"/>
        <v>0.52364590379142284</v>
      </c>
      <c r="BY83" s="17">
        <f t="shared" si="44"/>
        <v>0.52364590379142284</v>
      </c>
      <c r="BZ83" s="17">
        <f t="shared" si="44"/>
        <v>0.52364590379142284</v>
      </c>
      <c r="CA83" s="17">
        <f t="shared" si="44"/>
        <v>0.52364590379142284</v>
      </c>
      <c r="CB83" s="17">
        <f t="shared" si="44"/>
        <v>0.52364590379142284</v>
      </c>
      <c r="CC83" s="17">
        <f t="shared" si="44"/>
        <v>0.52364590379142284</v>
      </c>
      <c r="CD83" s="17">
        <f t="shared" si="44"/>
        <v>0.52364590379142284</v>
      </c>
      <c r="CE83" s="17">
        <f t="shared" si="44"/>
        <v>0.52364590379142284</v>
      </c>
      <c r="CF83" s="17">
        <f t="shared" si="44"/>
        <v>0.52364590379142284</v>
      </c>
      <c r="CG83" s="17">
        <f t="shared" si="44"/>
        <v>0.52364590379142284</v>
      </c>
      <c r="CH83" s="17">
        <f t="shared" si="44"/>
        <v>0.52364590379142284</v>
      </c>
      <c r="CI83" s="17">
        <f t="shared" si="44"/>
        <v>0.52364590379142284</v>
      </c>
      <c r="CJ83" s="17">
        <f t="shared" si="44"/>
        <v>0.52364590379142284</v>
      </c>
      <c r="CK83" s="17">
        <f t="shared" si="44"/>
        <v>0.52364590379142284</v>
      </c>
      <c r="CL83" s="17">
        <f t="shared" ref="CL83:CT103" si="50">$B$20/($B$21-$B$22*CL84)</f>
        <v>0.52364590379142284</v>
      </c>
      <c r="CM83" s="17">
        <f t="shared" si="50"/>
        <v>0.52364590379142284</v>
      </c>
      <c r="CN83" s="17">
        <f t="shared" si="50"/>
        <v>0.52364590379142284</v>
      </c>
      <c r="CO83" s="17">
        <f t="shared" si="50"/>
        <v>0.52364590379142284</v>
      </c>
      <c r="CP83" s="17">
        <f t="shared" si="50"/>
        <v>0.52364590379142284</v>
      </c>
      <c r="CQ83" s="17">
        <f t="shared" si="50"/>
        <v>0.52364590379142284</v>
      </c>
      <c r="CR83" s="17">
        <f t="shared" si="50"/>
        <v>0.52364590379142284</v>
      </c>
      <c r="CS83" s="17">
        <f t="shared" si="50"/>
        <v>0.52364590379142284</v>
      </c>
      <c r="CT83" s="17">
        <f t="shared" si="50"/>
        <v>0.52364590379142284</v>
      </c>
      <c r="CU83" s="17">
        <f t="shared" si="48"/>
        <v>0.52364590379142284</v>
      </c>
      <c r="CV83" s="17">
        <f t="shared" si="48"/>
        <v>0.52364590379142284</v>
      </c>
      <c r="CW83" s="17">
        <f t="shared" si="48"/>
        <v>0.52364590379142284</v>
      </c>
      <c r="CX83" s="17">
        <f t="shared" si="48"/>
        <v>0.52364590379142284</v>
      </c>
      <c r="CY83" s="17">
        <f t="shared" si="48"/>
        <v>0.52364590379142284</v>
      </c>
      <c r="CZ83" s="17">
        <f t="shared" si="48"/>
        <v>0.52364590379142284</v>
      </c>
      <c r="DA83" s="7"/>
      <c r="DB83" s="25"/>
      <c r="DC83" s="15">
        <v>7.0000000000000007E-2</v>
      </c>
      <c r="DD83" s="17">
        <f t="shared" si="45"/>
        <v>142.90622886257316</v>
      </c>
      <c r="DE83" s="17">
        <f t="shared" si="45"/>
        <v>139.7304904064282</v>
      </c>
      <c r="DF83" s="17">
        <f t="shared" si="45"/>
        <v>136.55475243763098</v>
      </c>
      <c r="DG83" s="17">
        <f t="shared" si="45"/>
        <v>133.37901543818981</v>
      </c>
      <c r="DH83" s="17">
        <f t="shared" si="45"/>
        <v>130.20327987949253</v>
      </c>
      <c r="DI83" s="17">
        <f t="shared" si="45"/>
        <v>127.02754621714175</v>
      </c>
      <c r="DJ83" s="17">
        <f t="shared" si="45"/>
        <v>123.85181488596349</v>
      </c>
      <c r="DK83" s="17">
        <f t="shared" si="45"/>
        <v>120.67608629524288</v>
      </c>
      <c r="DL83" s="17">
        <f t="shared" si="45"/>
        <v>117.50036082423999</v>
      </c>
      <c r="DM83" s="17">
        <f t="shared" si="45"/>
        <v>114.32463881803469</v>
      </c>
      <c r="DN83" s="17">
        <f t="shared" si="45"/>
        <v>111.14892058374571</v>
      </c>
      <c r="DO83" s="17">
        <f t="shared" si="45"/>
        <v>107.97320638716592</v>
      </c>
      <c r="DP83" s="17">
        <f t="shared" si="45"/>
        <v>104.79749644985024</v>
      </c>
      <c r="DQ83" s="17">
        <f t="shared" si="45"/>
        <v>101.62179094668814</v>
      </c>
      <c r="DR83" s="17">
        <f t="shared" si="45"/>
        <v>98.446090003987649</v>
      </c>
      <c r="DS83" s="17">
        <f t="shared" si="45"/>
        <v>95.270393698091326</v>
      </c>
      <c r="DT83" s="17">
        <f t="shared" ref="DT83:DW103" si="51">(DT84*$B$22-BD83)/($B$21-$B$22*CL84)</f>
        <v>92.094702054539979</v>
      </c>
      <c r="DU83" s="17">
        <f t="shared" si="49"/>
        <v>88.919015047792811</v>
      </c>
      <c r="DV83" s="17">
        <f t="shared" si="49"/>
        <v>85.743332601507248</v>
      </c>
      <c r="DW83" s="17">
        <f t="shared" si="49"/>
        <v>82.567654589375223</v>
      </c>
      <c r="DX83" s="17">
        <f t="shared" si="49"/>
        <v>79.391980836507329</v>
      </c>
      <c r="DY83" s="17">
        <f t="shared" si="49"/>
        <v>76.216311121348639</v>
      </c>
      <c r="DZ83" s="17">
        <f t="shared" si="49"/>
        <v>73.040645178106303</v>
      </c>
      <c r="EA83" s="17">
        <f t="shared" si="49"/>
        <v>69.864982699661482</v>
      </c>
      <c r="EB83" s="17">
        <f t="shared" si="49"/>
        <v>66.689323340934408</v>
      </c>
      <c r="EC83" s="17">
        <f t="shared" si="49"/>
        <v>63.513666722664958</v>
      </c>
      <c r="ED83" s="17">
        <f t="shared" si="49"/>
        <v>60.338012435567997</v>
      </c>
      <c r="EE83" s="17">
        <f t="shared" si="49"/>
        <v>57.162360044817596</v>
      </c>
      <c r="EF83" s="17">
        <f t="shared" si="49"/>
        <v>53.98670909481104</v>
      </c>
      <c r="EG83" s="17">
        <f t="shared" si="49"/>
        <v>50.8110591141605</v>
      </c>
      <c r="EH83" s="17">
        <f t="shared" si="49"/>
        <v>47.635409620857722</v>
      </c>
    </row>
    <row r="84" spans="5:138" ht="15.6" x14ac:dyDescent="0.3">
      <c r="E84" s="25"/>
      <c r="F84" s="15">
        <v>6.6666666666666666E-2</v>
      </c>
      <c r="G84" s="17">
        <f t="shared" si="40"/>
        <v>300</v>
      </c>
      <c r="H84" s="17">
        <f t="shared" si="46"/>
        <v>293.33323995443419</v>
      </c>
      <c r="I84" s="17">
        <f t="shared" si="41"/>
        <v>286.66648093194715</v>
      </c>
      <c r="J84" s="17">
        <f t="shared" si="41"/>
        <v>279.99972394440852</v>
      </c>
      <c r="K84" s="17">
        <f t="shared" si="41"/>
        <v>273.33296998139281</v>
      </c>
      <c r="L84" s="17">
        <f t="shared" ref="L84:AJ94" si="52">CA84*L83+DI84</f>
        <v>266.66621999933693</v>
      </c>
      <c r="M84" s="17">
        <f t="shared" si="52"/>
        <v>259.99947491106178</v>
      </c>
      <c r="N84" s="17">
        <f t="shared" si="52"/>
        <v>253.33273557577104</v>
      </c>
      <c r="O84" s="17">
        <f t="shared" si="52"/>
        <v>246.66600278963716</v>
      </c>
      <c r="P84" s="17">
        <f t="shared" si="52"/>
        <v>239.99927727707899</v>
      </c>
      <c r="Q84" s="17">
        <f t="shared" si="52"/>
        <v>233.33255968282441</v>
      </c>
      <c r="R84" s="17">
        <f t="shared" si="52"/>
        <v>226.66585056484661</v>
      </c>
      <c r="S84" s="17">
        <f t="shared" si="52"/>
        <v>219.99915038825117</v>
      </c>
      <c r="T84" s="17">
        <f t="shared" si="52"/>
        <v>213.33245952017984</v>
      </c>
      <c r="U84" s="17">
        <f t="shared" si="52"/>
        <v>206.66577822578833</v>
      </c>
      <c r="V84" s="17">
        <f t="shared" si="52"/>
        <v>199.99910666534095</v>
      </c>
      <c r="W84" s="17">
        <f t="shared" si="52"/>
        <v>193.33244489245504</v>
      </c>
      <c r="X84" s="17">
        <f t="shared" si="52"/>
        <v>186.66579285351332</v>
      </c>
      <c r="Y84" s="17">
        <f t="shared" si="52"/>
        <v>179.99915038825134</v>
      </c>
      <c r="Z84" s="17">
        <f t="shared" si="52"/>
        <v>173.33251723151346</v>
      </c>
      <c r="AA84" s="17">
        <f t="shared" si="52"/>
        <v>166.66589301615792</v>
      </c>
      <c r="AB84" s="17">
        <f t="shared" si="52"/>
        <v>159.99927727707927</v>
      </c>
      <c r="AC84" s="17">
        <f t="shared" si="52"/>
        <v>153.33266945630422</v>
      </c>
      <c r="AD84" s="17">
        <f t="shared" si="52"/>
        <v>146.66606890910472</v>
      </c>
      <c r="AE84" s="17">
        <f t="shared" si="52"/>
        <v>139.99947491106218</v>
      </c>
      <c r="AF84" s="17">
        <f t="shared" si="52"/>
        <v>133.33288666600393</v>
      </c>
      <c r="AG84" s="17">
        <f t="shared" si="52"/>
        <v>126.66630331472641</v>
      </c>
      <c r="AH84" s="17">
        <f t="shared" si="52"/>
        <v>119.99972394440877</v>
      </c>
      <c r="AI84" s="17">
        <f t="shared" si="52"/>
        <v>113.33314759861398</v>
      </c>
      <c r="AJ84" s="17">
        <f t="shared" si="52"/>
        <v>106.66657328776762</v>
      </c>
      <c r="AK84" s="17">
        <f t="shared" si="42"/>
        <v>100</v>
      </c>
      <c r="AL84" s="25"/>
      <c r="AM84" s="15">
        <v>6.6666666666666666E-2</v>
      </c>
      <c r="AN84" s="17">
        <f t="shared" si="43"/>
        <v>-538200000</v>
      </c>
      <c r="AO84" s="17">
        <f t="shared" si="43"/>
        <v>-526239832.47825491</v>
      </c>
      <c r="AP84" s="17">
        <f t="shared" si="43"/>
        <v>-514279666.79191321</v>
      </c>
      <c r="AQ84" s="17">
        <f t="shared" si="43"/>
        <v>-502319504.75626886</v>
      </c>
      <c r="AR84" s="17">
        <f t="shared" si="43"/>
        <v>-490359348.14661872</v>
      </c>
      <c r="AS84" s="17">
        <f t="shared" si="43"/>
        <v>-478399198.67881048</v>
      </c>
      <c r="AT84" s="17">
        <f t="shared" si="43"/>
        <v>-466439057.99044484</v>
      </c>
      <c r="AU84" s="17">
        <f t="shared" si="43"/>
        <v>-454478927.62293321</v>
      </c>
      <c r="AV84" s="17">
        <f t="shared" si="43"/>
        <v>-442518809.00460905</v>
      </c>
      <c r="AW84" s="17">
        <f t="shared" si="43"/>
        <v>-430558703.43507975</v>
      </c>
      <c r="AX84" s="17">
        <f t="shared" si="43"/>
        <v>-418598612.07098693</v>
      </c>
      <c r="AY84" s="17">
        <f t="shared" si="43"/>
        <v>-406638535.91333479</v>
      </c>
      <c r="AZ84" s="17">
        <f t="shared" si="43"/>
        <v>-394678475.79652262</v>
      </c>
      <c r="BA84" s="17">
        <f t="shared" si="43"/>
        <v>-382718432.37920266</v>
      </c>
      <c r="BB84" s="17">
        <f t="shared" si="43"/>
        <v>-370758406.13706428</v>
      </c>
      <c r="BC84" s="17">
        <f t="shared" si="43"/>
        <v>-358798397.35762167</v>
      </c>
      <c r="BD84" s="17">
        <f t="shared" si="47"/>
        <v>-346838406.13706428</v>
      </c>
      <c r="BE84" s="17">
        <f t="shared" si="47"/>
        <v>-334878432.37920284</v>
      </c>
      <c r="BF84" s="17">
        <f t="shared" si="47"/>
        <v>-322918475.79652286</v>
      </c>
      <c r="BG84" s="17">
        <f t="shared" si="47"/>
        <v>-310958535.91333514</v>
      </c>
      <c r="BH84" s="17">
        <f t="shared" si="47"/>
        <v>-298998612.07098728</v>
      </c>
      <c r="BI84" s="17">
        <f t="shared" si="47"/>
        <v>-287038703.43508023</v>
      </c>
      <c r="BJ84" s="17">
        <f t="shared" si="47"/>
        <v>-275078809.0046097</v>
      </c>
      <c r="BK84" s="17">
        <f t="shared" si="47"/>
        <v>-263118927.62293386</v>
      </c>
      <c r="BL84" s="17">
        <f t="shared" si="47"/>
        <v>-251159057.99044555</v>
      </c>
      <c r="BM84" s="17">
        <f t="shared" si="47"/>
        <v>-239199198.67881098</v>
      </c>
      <c r="BN84" s="17">
        <f t="shared" si="47"/>
        <v>-227239348.14661911</v>
      </c>
      <c r="BO84" s="17">
        <f t="shared" si="47"/>
        <v>-215279504.75626928</v>
      </c>
      <c r="BP84" s="17">
        <f t="shared" si="47"/>
        <v>-203319666.79191342</v>
      </c>
      <c r="BQ84" s="17">
        <f t="shared" si="47"/>
        <v>-191359832.47825506</v>
      </c>
      <c r="BR84" s="17">
        <f t="shared" si="47"/>
        <v>-179400000</v>
      </c>
      <c r="BS84" s="7"/>
      <c r="BT84" s="25"/>
      <c r="BU84" s="15">
        <v>6.6666666666666666E-2</v>
      </c>
      <c r="BV84" s="17">
        <f t="shared" si="44"/>
        <v>0.52364590379446463</v>
      </c>
      <c r="BW84" s="17">
        <f t="shared" si="44"/>
        <v>0.52364590379446463</v>
      </c>
      <c r="BX84" s="17">
        <f t="shared" si="44"/>
        <v>0.52364590379446463</v>
      </c>
      <c r="BY84" s="17">
        <f t="shared" si="44"/>
        <v>0.52364590379446463</v>
      </c>
      <c r="BZ84" s="17">
        <f t="shared" si="44"/>
        <v>0.52364590379446463</v>
      </c>
      <c r="CA84" s="17">
        <f t="shared" si="44"/>
        <v>0.52364590379446463</v>
      </c>
      <c r="CB84" s="17">
        <f t="shared" si="44"/>
        <v>0.52364590379446463</v>
      </c>
      <c r="CC84" s="17">
        <f t="shared" si="44"/>
        <v>0.52364590379446463</v>
      </c>
      <c r="CD84" s="17">
        <f t="shared" si="44"/>
        <v>0.52364590379446463</v>
      </c>
      <c r="CE84" s="17">
        <f t="shared" si="44"/>
        <v>0.52364590379446463</v>
      </c>
      <c r="CF84" s="17">
        <f t="shared" si="44"/>
        <v>0.52364590379446463</v>
      </c>
      <c r="CG84" s="17">
        <f t="shared" si="44"/>
        <v>0.52364590379446463</v>
      </c>
      <c r="CH84" s="17">
        <f t="shared" si="44"/>
        <v>0.52364590379446463</v>
      </c>
      <c r="CI84" s="17">
        <f t="shared" si="44"/>
        <v>0.52364590379446463</v>
      </c>
      <c r="CJ84" s="17">
        <f t="shared" si="44"/>
        <v>0.52364590379446463</v>
      </c>
      <c r="CK84" s="17">
        <f t="shared" si="44"/>
        <v>0.52364590379446463</v>
      </c>
      <c r="CL84" s="17">
        <f t="shared" si="50"/>
        <v>0.52364590379446463</v>
      </c>
      <c r="CM84" s="17">
        <f t="shared" si="50"/>
        <v>0.52364590379446463</v>
      </c>
      <c r="CN84" s="17">
        <f t="shared" si="50"/>
        <v>0.52364590379446463</v>
      </c>
      <c r="CO84" s="17">
        <f t="shared" si="50"/>
        <v>0.52364590379446463</v>
      </c>
      <c r="CP84" s="17">
        <f t="shared" si="50"/>
        <v>0.52364590379446463</v>
      </c>
      <c r="CQ84" s="17">
        <f t="shared" si="50"/>
        <v>0.52364590379446463</v>
      </c>
      <c r="CR84" s="17">
        <f t="shared" si="50"/>
        <v>0.52364590379446463</v>
      </c>
      <c r="CS84" s="17">
        <f t="shared" si="50"/>
        <v>0.52364590379446463</v>
      </c>
      <c r="CT84" s="17">
        <f t="shared" si="50"/>
        <v>0.52364590379446463</v>
      </c>
      <c r="CU84" s="17">
        <f t="shared" si="48"/>
        <v>0.52364590379446463</v>
      </c>
      <c r="CV84" s="17">
        <f t="shared" si="48"/>
        <v>0.52364590379446463</v>
      </c>
      <c r="CW84" s="17">
        <f t="shared" si="48"/>
        <v>0.52364590379446463</v>
      </c>
      <c r="CX84" s="17">
        <f t="shared" si="48"/>
        <v>0.52364590379446463</v>
      </c>
      <c r="CY84" s="17">
        <f t="shared" si="48"/>
        <v>0.52364590379446463</v>
      </c>
      <c r="CZ84" s="17">
        <f t="shared" si="48"/>
        <v>0.52364590379446463</v>
      </c>
      <c r="DA84" s="7"/>
      <c r="DB84" s="25"/>
      <c r="DC84" s="15">
        <v>6.6666666666666666E-2</v>
      </c>
      <c r="DD84" s="17">
        <f t="shared" si="45"/>
        <v>142.90622886166062</v>
      </c>
      <c r="DE84" s="17">
        <f t="shared" si="45"/>
        <v>139.7304904055359</v>
      </c>
      <c r="DF84" s="17">
        <f t="shared" si="45"/>
        <v>136.554752436759</v>
      </c>
      <c r="DG84" s="17">
        <f t="shared" si="45"/>
        <v>133.3790154373381</v>
      </c>
      <c r="DH84" s="17">
        <f t="shared" si="45"/>
        <v>130.20327987866108</v>
      </c>
      <c r="DI84" s="17">
        <f t="shared" si="45"/>
        <v>127.02754621633058</v>
      </c>
      <c r="DJ84" s="17">
        <f t="shared" si="45"/>
        <v>123.85181488517259</v>
      </c>
      <c r="DK84" s="17">
        <f t="shared" si="45"/>
        <v>120.67608629447226</v>
      </c>
      <c r="DL84" s="17">
        <f t="shared" si="45"/>
        <v>117.50036082348966</v>
      </c>
      <c r="DM84" s="17">
        <f t="shared" si="45"/>
        <v>114.32463881730463</v>
      </c>
      <c r="DN84" s="17">
        <f t="shared" si="45"/>
        <v>111.14892058303593</v>
      </c>
      <c r="DO84" s="17">
        <f t="shared" si="45"/>
        <v>107.97320638647642</v>
      </c>
      <c r="DP84" s="17">
        <f t="shared" si="45"/>
        <v>104.79749644918103</v>
      </c>
      <c r="DQ84" s="17">
        <f t="shared" si="45"/>
        <v>101.62179094603921</v>
      </c>
      <c r="DR84" s="17">
        <f t="shared" si="45"/>
        <v>98.446090003358989</v>
      </c>
      <c r="DS84" s="17">
        <f t="shared" si="45"/>
        <v>95.27039369748293</v>
      </c>
      <c r="DT84" s="17">
        <f t="shared" si="51"/>
        <v>92.094702053951863</v>
      </c>
      <c r="DU84" s="17">
        <f t="shared" si="49"/>
        <v>88.919015047225002</v>
      </c>
      <c r="DV84" s="17">
        <f t="shared" si="49"/>
        <v>85.74333260095969</v>
      </c>
      <c r="DW84" s="17">
        <f t="shared" si="49"/>
        <v>82.567654588847972</v>
      </c>
      <c r="DX84" s="17">
        <f t="shared" si="49"/>
        <v>79.391980836000343</v>
      </c>
      <c r="DY84" s="17">
        <f t="shared" si="49"/>
        <v>76.216311120861931</v>
      </c>
      <c r="DZ84" s="17">
        <f t="shared" si="49"/>
        <v>73.040645177639874</v>
      </c>
      <c r="EA84" s="17">
        <f t="shared" si="49"/>
        <v>69.864982699215332</v>
      </c>
      <c r="EB84" s="17">
        <f t="shared" si="49"/>
        <v>66.689323340508537</v>
      </c>
      <c r="EC84" s="17">
        <f t="shared" si="49"/>
        <v>63.513666722259366</v>
      </c>
      <c r="ED84" s="17">
        <f t="shared" si="49"/>
        <v>60.338012435182691</v>
      </c>
      <c r="EE84" s="17">
        <f t="shared" si="49"/>
        <v>57.162360044452569</v>
      </c>
      <c r="EF84" s="17">
        <f t="shared" si="49"/>
        <v>53.986709094466285</v>
      </c>
      <c r="EG84" s="17">
        <f t="shared" si="49"/>
        <v>50.811059113836038</v>
      </c>
      <c r="EH84" s="17">
        <f t="shared" si="49"/>
        <v>47.635409620553538</v>
      </c>
    </row>
    <row r="85" spans="5:138" ht="15.6" x14ac:dyDescent="0.3">
      <c r="E85" s="25"/>
      <c r="F85" s="15">
        <v>6.3333333333333339E-2</v>
      </c>
      <c r="G85" s="17">
        <f t="shared" si="40"/>
        <v>300</v>
      </c>
      <c r="H85" s="17">
        <f t="shared" si="46"/>
        <v>293.33323995443413</v>
      </c>
      <c r="I85" s="17">
        <f t="shared" si="46"/>
        <v>286.66648093194715</v>
      </c>
      <c r="J85" s="17">
        <f t="shared" si="46"/>
        <v>279.99972394440852</v>
      </c>
      <c r="K85" s="17">
        <f t="shared" si="46"/>
        <v>273.33296998139275</v>
      </c>
      <c r="L85" s="17">
        <f t="shared" si="52"/>
        <v>266.66621999933693</v>
      </c>
      <c r="M85" s="17">
        <f t="shared" si="52"/>
        <v>259.99947491106172</v>
      </c>
      <c r="N85" s="17">
        <f t="shared" si="52"/>
        <v>253.33273557577101</v>
      </c>
      <c r="O85" s="17">
        <f t="shared" si="52"/>
        <v>246.66600278963716</v>
      </c>
      <c r="P85" s="17">
        <f t="shared" si="52"/>
        <v>239.99927727707899</v>
      </c>
      <c r="Q85" s="17">
        <f t="shared" si="52"/>
        <v>233.33255968282435</v>
      </c>
      <c r="R85" s="17">
        <f t="shared" si="52"/>
        <v>226.66585056484658</v>
      </c>
      <c r="S85" s="17">
        <f t="shared" si="52"/>
        <v>219.99915038825114</v>
      </c>
      <c r="T85" s="17">
        <f t="shared" si="52"/>
        <v>213.33245952017981</v>
      </c>
      <c r="U85" s="17">
        <f t="shared" si="52"/>
        <v>206.6657782257883</v>
      </c>
      <c r="V85" s="17">
        <f t="shared" si="52"/>
        <v>199.99910666534095</v>
      </c>
      <c r="W85" s="17">
        <f t="shared" si="52"/>
        <v>193.33244489245502</v>
      </c>
      <c r="X85" s="17">
        <f t="shared" si="52"/>
        <v>186.66579285351332</v>
      </c>
      <c r="Y85" s="17">
        <f t="shared" si="52"/>
        <v>179.99915038825131</v>
      </c>
      <c r="Z85" s="17">
        <f t="shared" si="52"/>
        <v>173.33251723151346</v>
      </c>
      <c r="AA85" s="17">
        <f t="shared" si="52"/>
        <v>166.66589301615792</v>
      </c>
      <c r="AB85" s="17">
        <f t="shared" si="52"/>
        <v>159.99927727707924</v>
      </c>
      <c r="AC85" s="17">
        <f t="shared" si="52"/>
        <v>153.33266945630419</v>
      </c>
      <c r="AD85" s="17">
        <f t="shared" si="52"/>
        <v>146.66606890910469</v>
      </c>
      <c r="AE85" s="17">
        <f t="shared" si="52"/>
        <v>139.99947491106218</v>
      </c>
      <c r="AF85" s="17">
        <f t="shared" si="52"/>
        <v>133.3328866660039</v>
      </c>
      <c r="AG85" s="17">
        <f t="shared" si="52"/>
        <v>126.66630331472641</v>
      </c>
      <c r="AH85" s="17">
        <f t="shared" si="52"/>
        <v>119.99972394440877</v>
      </c>
      <c r="AI85" s="17">
        <f t="shared" si="52"/>
        <v>113.33314759861396</v>
      </c>
      <c r="AJ85" s="17">
        <f t="shared" si="52"/>
        <v>106.6665732877676</v>
      </c>
      <c r="AK85" s="17">
        <f t="shared" si="42"/>
        <v>100</v>
      </c>
      <c r="AL85" s="25"/>
      <c r="AM85" s="15">
        <v>6.3333333333333339E-2</v>
      </c>
      <c r="AN85" s="17">
        <f t="shared" si="43"/>
        <v>-538200000</v>
      </c>
      <c r="AO85" s="17">
        <f t="shared" si="43"/>
        <v>-526239832.47825491</v>
      </c>
      <c r="AP85" s="17">
        <f t="shared" si="43"/>
        <v>-514279666.79191321</v>
      </c>
      <c r="AQ85" s="17">
        <f t="shared" si="43"/>
        <v>-502319504.75626886</v>
      </c>
      <c r="AR85" s="17">
        <f t="shared" si="43"/>
        <v>-490359348.14661849</v>
      </c>
      <c r="AS85" s="17">
        <f t="shared" si="43"/>
        <v>-478399198.67881036</v>
      </c>
      <c r="AT85" s="17">
        <f t="shared" si="43"/>
        <v>-466439057.99044484</v>
      </c>
      <c r="AU85" s="17">
        <f t="shared" si="43"/>
        <v>-454478927.62293321</v>
      </c>
      <c r="AV85" s="17">
        <f t="shared" si="43"/>
        <v>-442518809.00460905</v>
      </c>
      <c r="AW85" s="17">
        <f t="shared" si="43"/>
        <v>-430558703.43507969</v>
      </c>
      <c r="AX85" s="17">
        <f t="shared" si="43"/>
        <v>-418598612.07098687</v>
      </c>
      <c r="AY85" s="17">
        <f t="shared" si="43"/>
        <v>-406638535.91333479</v>
      </c>
      <c r="AZ85" s="17">
        <f t="shared" si="43"/>
        <v>-394678475.79652262</v>
      </c>
      <c r="BA85" s="17">
        <f t="shared" si="43"/>
        <v>-382718432.3792026</v>
      </c>
      <c r="BB85" s="17">
        <f t="shared" si="43"/>
        <v>-370758406.13706422</v>
      </c>
      <c r="BC85" s="17">
        <f t="shared" si="43"/>
        <v>-358798397.35762161</v>
      </c>
      <c r="BD85" s="17">
        <f t="shared" si="47"/>
        <v>-346838406.13706428</v>
      </c>
      <c r="BE85" s="17">
        <f t="shared" si="47"/>
        <v>-334878432.37920284</v>
      </c>
      <c r="BF85" s="17">
        <f t="shared" si="47"/>
        <v>-322918475.79652286</v>
      </c>
      <c r="BG85" s="17">
        <f t="shared" si="47"/>
        <v>-310958535.91333514</v>
      </c>
      <c r="BH85" s="17">
        <f t="shared" si="47"/>
        <v>-298998612.07098728</v>
      </c>
      <c r="BI85" s="17">
        <f t="shared" si="47"/>
        <v>-287038703.43508017</v>
      </c>
      <c r="BJ85" s="17">
        <f t="shared" si="47"/>
        <v>-275078809.00460958</v>
      </c>
      <c r="BK85" s="17">
        <f t="shared" si="47"/>
        <v>-263118927.62293383</v>
      </c>
      <c r="BL85" s="17">
        <f t="shared" si="47"/>
        <v>-251159057.99044549</v>
      </c>
      <c r="BM85" s="17">
        <f t="shared" si="47"/>
        <v>-239199198.67881098</v>
      </c>
      <c r="BN85" s="17">
        <f t="shared" si="47"/>
        <v>-227239348.14661911</v>
      </c>
      <c r="BO85" s="17">
        <f t="shared" si="47"/>
        <v>-215279504.75626928</v>
      </c>
      <c r="BP85" s="17">
        <f t="shared" si="47"/>
        <v>-203319666.79191342</v>
      </c>
      <c r="BQ85" s="17">
        <f t="shared" si="47"/>
        <v>-191359832.47825506</v>
      </c>
      <c r="BR85" s="17">
        <f t="shared" si="47"/>
        <v>-179400000</v>
      </c>
      <c r="BS85" s="7"/>
      <c r="BT85" s="25"/>
      <c r="BU85" s="15">
        <v>6.3333333333333339E-2</v>
      </c>
      <c r="BV85" s="17">
        <f t="shared" si="44"/>
        <v>0.52364590380555798</v>
      </c>
      <c r="BW85" s="17">
        <f t="shared" si="44"/>
        <v>0.52364590380555798</v>
      </c>
      <c r="BX85" s="17">
        <f t="shared" si="44"/>
        <v>0.52364590380555798</v>
      </c>
      <c r="BY85" s="17">
        <f t="shared" si="44"/>
        <v>0.52364590380555798</v>
      </c>
      <c r="BZ85" s="17">
        <f t="shared" si="44"/>
        <v>0.52364590380555798</v>
      </c>
      <c r="CA85" s="17">
        <f t="shared" si="44"/>
        <v>0.52364590380555798</v>
      </c>
      <c r="CB85" s="17">
        <f t="shared" si="44"/>
        <v>0.52364590380555798</v>
      </c>
      <c r="CC85" s="17">
        <f t="shared" si="44"/>
        <v>0.52364590380555798</v>
      </c>
      <c r="CD85" s="17">
        <f t="shared" si="44"/>
        <v>0.52364590380555798</v>
      </c>
      <c r="CE85" s="17">
        <f t="shared" si="44"/>
        <v>0.52364590380555798</v>
      </c>
      <c r="CF85" s="17">
        <f t="shared" si="44"/>
        <v>0.52364590380555798</v>
      </c>
      <c r="CG85" s="17">
        <f t="shared" si="44"/>
        <v>0.52364590380555798</v>
      </c>
      <c r="CH85" s="17">
        <f t="shared" si="44"/>
        <v>0.52364590380555798</v>
      </c>
      <c r="CI85" s="17">
        <f t="shared" si="44"/>
        <v>0.52364590380555798</v>
      </c>
      <c r="CJ85" s="17">
        <f t="shared" si="44"/>
        <v>0.52364590380555798</v>
      </c>
      <c r="CK85" s="17">
        <f t="shared" si="44"/>
        <v>0.52364590380555798</v>
      </c>
      <c r="CL85" s="17">
        <f t="shared" si="50"/>
        <v>0.52364590380555798</v>
      </c>
      <c r="CM85" s="17">
        <f t="shared" si="50"/>
        <v>0.52364590380555798</v>
      </c>
      <c r="CN85" s="17">
        <f t="shared" si="50"/>
        <v>0.52364590380555798</v>
      </c>
      <c r="CO85" s="17">
        <f t="shared" si="50"/>
        <v>0.52364590380555798</v>
      </c>
      <c r="CP85" s="17">
        <f t="shared" si="50"/>
        <v>0.52364590380555798</v>
      </c>
      <c r="CQ85" s="17">
        <f t="shared" si="50"/>
        <v>0.52364590380555798</v>
      </c>
      <c r="CR85" s="17">
        <f t="shared" si="50"/>
        <v>0.52364590380555798</v>
      </c>
      <c r="CS85" s="17">
        <f t="shared" si="50"/>
        <v>0.52364590380555798</v>
      </c>
      <c r="CT85" s="17">
        <f t="shared" si="50"/>
        <v>0.52364590380555798</v>
      </c>
      <c r="CU85" s="17">
        <f t="shared" si="48"/>
        <v>0.52364590380555798</v>
      </c>
      <c r="CV85" s="17">
        <f t="shared" si="48"/>
        <v>0.52364590380555798</v>
      </c>
      <c r="CW85" s="17">
        <f t="shared" si="48"/>
        <v>0.52364590380555798</v>
      </c>
      <c r="CX85" s="17">
        <f t="shared" si="48"/>
        <v>0.52364590380555798</v>
      </c>
      <c r="CY85" s="17">
        <f t="shared" si="48"/>
        <v>0.52364590380555798</v>
      </c>
      <c r="CZ85" s="17">
        <f t="shared" si="48"/>
        <v>0.52364590380555798</v>
      </c>
      <c r="DA85" s="7"/>
      <c r="DB85" s="25"/>
      <c r="DC85" s="15">
        <v>6.3333333333333339E-2</v>
      </c>
      <c r="DD85" s="17">
        <f t="shared" si="45"/>
        <v>142.90622885833261</v>
      </c>
      <c r="DE85" s="17">
        <f t="shared" si="45"/>
        <v>139.73049040228187</v>
      </c>
      <c r="DF85" s="17">
        <f t="shared" si="45"/>
        <v>136.55475243357893</v>
      </c>
      <c r="DG85" s="17">
        <f t="shared" si="45"/>
        <v>133.37901543423197</v>
      </c>
      <c r="DH85" s="17">
        <f t="shared" si="45"/>
        <v>130.20327987562888</v>
      </c>
      <c r="DI85" s="17">
        <f t="shared" si="45"/>
        <v>127.02754621337235</v>
      </c>
      <c r="DJ85" s="17">
        <f t="shared" si="45"/>
        <v>123.85181488228832</v>
      </c>
      <c r="DK85" s="17">
        <f t="shared" si="45"/>
        <v>120.67608629166196</v>
      </c>
      <c r="DL85" s="17">
        <f t="shared" si="45"/>
        <v>117.50036082075331</v>
      </c>
      <c r="DM85" s="17">
        <f t="shared" si="45"/>
        <v>114.32463881464223</v>
      </c>
      <c r="DN85" s="17">
        <f t="shared" si="45"/>
        <v>111.14892058044748</v>
      </c>
      <c r="DO85" s="17">
        <f t="shared" si="45"/>
        <v>107.97320638396194</v>
      </c>
      <c r="DP85" s="17">
        <f t="shared" si="45"/>
        <v>104.79749644674048</v>
      </c>
      <c r="DQ85" s="17">
        <f t="shared" si="45"/>
        <v>101.62179094367262</v>
      </c>
      <c r="DR85" s="17">
        <f t="shared" si="45"/>
        <v>98.446090001066366</v>
      </c>
      <c r="DS85" s="17">
        <f t="shared" si="45"/>
        <v>95.270393695264275</v>
      </c>
      <c r="DT85" s="17">
        <f t="shared" si="51"/>
        <v>92.094702051807161</v>
      </c>
      <c r="DU85" s="17">
        <f t="shared" si="49"/>
        <v>88.919015045154254</v>
      </c>
      <c r="DV85" s="17">
        <f t="shared" si="49"/>
        <v>85.74333259896288</v>
      </c>
      <c r="DW85" s="17">
        <f t="shared" si="49"/>
        <v>82.56765458692513</v>
      </c>
      <c r="DX85" s="17">
        <f t="shared" si="49"/>
        <v>79.391980834151468</v>
      </c>
      <c r="DY85" s="17">
        <f t="shared" si="49"/>
        <v>76.216311119086996</v>
      </c>
      <c r="DZ85" s="17">
        <f t="shared" si="49"/>
        <v>73.040645175938877</v>
      </c>
      <c r="EA85" s="17">
        <f t="shared" si="49"/>
        <v>69.864982697588317</v>
      </c>
      <c r="EB85" s="17">
        <f t="shared" si="49"/>
        <v>66.689323338955475</v>
      </c>
      <c r="EC85" s="17">
        <f t="shared" si="49"/>
        <v>63.513666720780257</v>
      </c>
      <c r="ED85" s="17">
        <f t="shared" si="49"/>
        <v>60.338012433777543</v>
      </c>
      <c r="EE85" s="17">
        <f t="shared" si="49"/>
        <v>57.162360043121375</v>
      </c>
      <c r="EF85" s="17">
        <f t="shared" si="49"/>
        <v>53.986709093209043</v>
      </c>
      <c r="EG85" s="17">
        <f t="shared" si="49"/>
        <v>50.811059112652742</v>
      </c>
      <c r="EH85" s="17">
        <f t="shared" si="49"/>
        <v>47.635409619444211</v>
      </c>
    </row>
    <row r="86" spans="5:138" ht="15.6" x14ac:dyDescent="0.3">
      <c r="E86" s="25"/>
      <c r="F86" s="15">
        <v>6.0000000000000005E-2</v>
      </c>
      <c r="G86" s="17">
        <f t="shared" si="40"/>
        <v>300</v>
      </c>
      <c r="H86" s="17">
        <f t="shared" si="46"/>
        <v>293.33323995443413</v>
      </c>
      <c r="I86" s="17">
        <f t="shared" si="46"/>
        <v>286.66648093194709</v>
      </c>
      <c r="J86" s="17">
        <f t="shared" si="46"/>
        <v>279.99972394440846</v>
      </c>
      <c r="K86" s="17">
        <f t="shared" si="46"/>
        <v>273.33296998139269</v>
      </c>
      <c r="L86" s="17">
        <f t="shared" si="52"/>
        <v>266.66621999933687</v>
      </c>
      <c r="M86" s="17">
        <f t="shared" si="52"/>
        <v>259.99947491106172</v>
      </c>
      <c r="N86" s="17">
        <f t="shared" si="52"/>
        <v>253.33273557577098</v>
      </c>
      <c r="O86" s="17">
        <f t="shared" si="52"/>
        <v>246.6660027896371</v>
      </c>
      <c r="P86" s="17">
        <f t="shared" si="52"/>
        <v>239.99927727707893</v>
      </c>
      <c r="Q86" s="17">
        <f t="shared" si="52"/>
        <v>233.3325596828243</v>
      </c>
      <c r="R86" s="17">
        <f t="shared" si="52"/>
        <v>226.66585056484655</v>
      </c>
      <c r="S86" s="17">
        <f t="shared" si="52"/>
        <v>219.99915038825108</v>
      </c>
      <c r="T86" s="17">
        <f t="shared" si="52"/>
        <v>213.33245952017975</v>
      </c>
      <c r="U86" s="17">
        <f t="shared" si="52"/>
        <v>206.66577822578824</v>
      </c>
      <c r="V86" s="17">
        <f t="shared" si="52"/>
        <v>199.99910666534089</v>
      </c>
      <c r="W86" s="17">
        <f t="shared" si="52"/>
        <v>193.33244489245499</v>
      </c>
      <c r="X86" s="17">
        <f t="shared" si="52"/>
        <v>186.66579285351327</v>
      </c>
      <c r="Y86" s="17">
        <f t="shared" si="52"/>
        <v>179.99915038825125</v>
      </c>
      <c r="Z86" s="17">
        <f t="shared" si="52"/>
        <v>173.33251723151341</v>
      </c>
      <c r="AA86" s="17">
        <f t="shared" si="52"/>
        <v>166.6658930161579</v>
      </c>
      <c r="AB86" s="17">
        <f t="shared" si="52"/>
        <v>159.99927727707922</v>
      </c>
      <c r="AC86" s="17">
        <f t="shared" si="52"/>
        <v>153.33266945630413</v>
      </c>
      <c r="AD86" s="17">
        <f t="shared" si="52"/>
        <v>146.66606890910467</v>
      </c>
      <c r="AE86" s="17">
        <f t="shared" si="52"/>
        <v>139.99947491106215</v>
      </c>
      <c r="AF86" s="17">
        <f t="shared" si="52"/>
        <v>133.33288666600387</v>
      </c>
      <c r="AG86" s="17">
        <f t="shared" si="52"/>
        <v>126.66630331472638</v>
      </c>
      <c r="AH86" s="17">
        <f t="shared" si="52"/>
        <v>119.99972394440876</v>
      </c>
      <c r="AI86" s="17">
        <f t="shared" si="52"/>
        <v>113.33314759861395</v>
      </c>
      <c r="AJ86" s="17">
        <f t="shared" si="52"/>
        <v>106.66657328776759</v>
      </c>
      <c r="AK86" s="17">
        <f t="shared" si="42"/>
        <v>100</v>
      </c>
      <c r="AL86" s="25"/>
      <c r="AM86" s="15">
        <v>6.0000000000000005E-2</v>
      </c>
      <c r="AN86" s="17">
        <f t="shared" si="43"/>
        <v>-538200000</v>
      </c>
      <c r="AO86" s="17">
        <f t="shared" si="43"/>
        <v>-526239832.47825491</v>
      </c>
      <c r="AP86" s="17">
        <f t="shared" si="43"/>
        <v>-514279666.79191309</v>
      </c>
      <c r="AQ86" s="17">
        <f t="shared" si="43"/>
        <v>-502319504.7562688</v>
      </c>
      <c r="AR86" s="17">
        <f t="shared" si="43"/>
        <v>-490359348.14661849</v>
      </c>
      <c r="AS86" s="17">
        <f t="shared" si="43"/>
        <v>-478399198.67881024</v>
      </c>
      <c r="AT86" s="17">
        <f t="shared" si="43"/>
        <v>-466439057.99044472</v>
      </c>
      <c r="AU86" s="17">
        <f t="shared" si="43"/>
        <v>-454478927.62293309</v>
      </c>
      <c r="AV86" s="17">
        <f t="shared" si="43"/>
        <v>-442518809.00460899</v>
      </c>
      <c r="AW86" s="17">
        <f t="shared" si="43"/>
        <v>-430558703.43507957</v>
      </c>
      <c r="AX86" s="17">
        <f t="shared" si="43"/>
        <v>-418598612.07098681</v>
      </c>
      <c r="AY86" s="17">
        <f t="shared" si="43"/>
        <v>-406638535.91333473</v>
      </c>
      <c r="AZ86" s="17">
        <f t="shared" si="43"/>
        <v>-394678475.7965225</v>
      </c>
      <c r="BA86" s="17">
        <f t="shared" si="43"/>
        <v>-382718432.37920254</v>
      </c>
      <c r="BB86" s="17">
        <f t="shared" si="43"/>
        <v>-370758406.1370641</v>
      </c>
      <c r="BC86" s="17">
        <f t="shared" si="43"/>
        <v>-358798397.35762155</v>
      </c>
      <c r="BD86" s="17">
        <f t="shared" si="47"/>
        <v>-346838406.13706422</v>
      </c>
      <c r="BE86" s="17">
        <f t="shared" si="47"/>
        <v>-334878432.37920272</v>
      </c>
      <c r="BF86" s="17">
        <f t="shared" si="47"/>
        <v>-322918475.79652274</v>
      </c>
      <c r="BG86" s="17">
        <f t="shared" si="47"/>
        <v>-310958535.91333503</v>
      </c>
      <c r="BH86" s="17">
        <f t="shared" si="47"/>
        <v>-298998612.07098722</v>
      </c>
      <c r="BI86" s="17">
        <f t="shared" si="47"/>
        <v>-287038703.43508011</v>
      </c>
      <c r="BJ86" s="17">
        <f t="shared" si="47"/>
        <v>-275078809.00460958</v>
      </c>
      <c r="BK86" s="17">
        <f t="shared" si="47"/>
        <v>-263118927.62293378</v>
      </c>
      <c r="BL86" s="17">
        <f t="shared" si="47"/>
        <v>-251159057.99044544</v>
      </c>
      <c r="BM86" s="17">
        <f t="shared" si="47"/>
        <v>-239199198.67881098</v>
      </c>
      <c r="BN86" s="17">
        <f t="shared" si="47"/>
        <v>-227239348.14661911</v>
      </c>
      <c r="BO86" s="17">
        <f t="shared" si="47"/>
        <v>-215279504.75626928</v>
      </c>
      <c r="BP86" s="17">
        <f t="shared" si="47"/>
        <v>-203319666.79191342</v>
      </c>
      <c r="BQ86" s="17">
        <f t="shared" si="47"/>
        <v>-191359832.47825506</v>
      </c>
      <c r="BR86" s="17">
        <f t="shared" si="47"/>
        <v>-179400000</v>
      </c>
      <c r="BS86" s="7"/>
      <c r="BT86" s="25"/>
      <c r="BU86" s="15">
        <v>6.0000000000000005E-2</v>
      </c>
      <c r="BV86" s="17">
        <f t="shared" si="44"/>
        <v>0.52364590384601417</v>
      </c>
      <c r="BW86" s="17">
        <f t="shared" si="44"/>
        <v>0.52364590384601417</v>
      </c>
      <c r="BX86" s="17">
        <f t="shared" si="44"/>
        <v>0.52364590384601417</v>
      </c>
      <c r="BY86" s="17">
        <f t="shared" si="44"/>
        <v>0.52364590384601417</v>
      </c>
      <c r="BZ86" s="17">
        <f t="shared" si="44"/>
        <v>0.52364590384601417</v>
      </c>
      <c r="CA86" s="17">
        <f t="shared" si="44"/>
        <v>0.52364590384601417</v>
      </c>
      <c r="CB86" s="17">
        <f t="shared" si="44"/>
        <v>0.52364590384601417</v>
      </c>
      <c r="CC86" s="17">
        <f t="shared" si="44"/>
        <v>0.52364590384601417</v>
      </c>
      <c r="CD86" s="17">
        <f t="shared" si="44"/>
        <v>0.52364590384601417</v>
      </c>
      <c r="CE86" s="17">
        <f t="shared" si="44"/>
        <v>0.52364590384601417</v>
      </c>
      <c r="CF86" s="17">
        <f t="shared" si="44"/>
        <v>0.52364590384601417</v>
      </c>
      <c r="CG86" s="17">
        <f t="shared" si="44"/>
        <v>0.52364590384601417</v>
      </c>
      <c r="CH86" s="17">
        <f t="shared" si="44"/>
        <v>0.52364590384601417</v>
      </c>
      <c r="CI86" s="17">
        <f t="shared" si="44"/>
        <v>0.52364590384601417</v>
      </c>
      <c r="CJ86" s="17">
        <f t="shared" si="44"/>
        <v>0.52364590384601417</v>
      </c>
      <c r="CK86" s="17">
        <f t="shared" si="44"/>
        <v>0.52364590384601417</v>
      </c>
      <c r="CL86" s="17">
        <f t="shared" si="50"/>
        <v>0.52364590384601417</v>
      </c>
      <c r="CM86" s="17">
        <f t="shared" si="50"/>
        <v>0.52364590384601417</v>
      </c>
      <c r="CN86" s="17">
        <f t="shared" si="50"/>
        <v>0.52364590384601417</v>
      </c>
      <c r="CO86" s="17">
        <f t="shared" si="50"/>
        <v>0.52364590384601417</v>
      </c>
      <c r="CP86" s="17">
        <f t="shared" si="50"/>
        <v>0.52364590384601417</v>
      </c>
      <c r="CQ86" s="17">
        <f t="shared" si="50"/>
        <v>0.52364590384601417</v>
      </c>
      <c r="CR86" s="17">
        <f t="shared" si="50"/>
        <v>0.52364590384601417</v>
      </c>
      <c r="CS86" s="17">
        <f t="shared" si="50"/>
        <v>0.52364590384601417</v>
      </c>
      <c r="CT86" s="17">
        <f t="shared" si="50"/>
        <v>0.52364590384601417</v>
      </c>
      <c r="CU86" s="17">
        <f t="shared" si="48"/>
        <v>0.52364590384601417</v>
      </c>
      <c r="CV86" s="17">
        <f t="shared" si="48"/>
        <v>0.52364590384601417</v>
      </c>
      <c r="CW86" s="17">
        <f t="shared" si="48"/>
        <v>0.52364590384601417</v>
      </c>
      <c r="CX86" s="17">
        <f t="shared" si="48"/>
        <v>0.52364590384601417</v>
      </c>
      <c r="CY86" s="17">
        <f t="shared" si="48"/>
        <v>0.52364590384601417</v>
      </c>
      <c r="CZ86" s="17">
        <f t="shared" si="48"/>
        <v>0.52364590384601417</v>
      </c>
      <c r="DA86" s="7"/>
      <c r="DB86" s="25"/>
      <c r="DC86" s="15">
        <v>6.0000000000000005E-2</v>
      </c>
      <c r="DD86" s="17">
        <f t="shared" si="45"/>
        <v>142.90622884619575</v>
      </c>
      <c r="DE86" s="17">
        <f t="shared" si="45"/>
        <v>139.7304903904147</v>
      </c>
      <c r="DF86" s="17">
        <f t="shared" si="45"/>
        <v>136.55475242198145</v>
      </c>
      <c r="DG86" s="17">
        <f t="shared" si="45"/>
        <v>133.37901542290422</v>
      </c>
      <c r="DH86" s="17">
        <f t="shared" si="45"/>
        <v>130.20327986457085</v>
      </c>
      <c r="DI86" s="17">
        <f t="shared" si="45"/>
        <v>127.02754620258403</v>
      </c>
      <c r="DJ86" s="17">
        <f t="shared" si="45"/>
        <v>123.8518148717697</v>
      </c>
      <c r="DK86" s="17">
        <f t="shared" si="45"/>
        <v>120.67608628141305</v>
      </c>
      <c r="DL86" s="17">
        <f t="shared" si="45"/>
        <v>117.50036081077411</v>
      </c>
      <c r="DM86" s="17">
        <f t="shared" si="45"/>
        <v>114.32463880493273</v>
      </c>
      <c r="DN86" s="17">
        <f t="shared" si="45"/>
        <v>111.14892057100771</v>
      </c>
      <c r="DO86" s="17">
        <f t="shared" si="45"/>
        <v>107.97320637479187</v>
      </c>
      <c r="DP86" s="17">
        <f t="shared" si="45"/>
        <v>104.79749643784011</v>
      </c>
      <c r="DQ86" s="17">
        <f t="shared" si="45"/>
        <v>101.62179093504197</v>
      </c>
      <c r="DR86" s="17">
        <f t="shared" si="45"/>
        <v>98.44608999270541</v>
      </c>
      <c r="DS86" s="17">
        <f t="shared" si="45"/>
        <v>95.270393687173041</v>
      </c>
      <c r="DT86" s="17">
        <f t="shared" si="51"/>
        <v>92.094702043985635</v>
      </c>
      <c r="DU86" s="17">
        <f t="shared" si="49"/>
        <v>88.919015037602435</v>
      </c>
      <c r="DV86" s="17">
        <f t="shared" si="49"/>
        <v>85.743332591680769</v>
      </c>
      <c r="DW86" s="17">
        <f t="shared" si="49"/>
        <v>82.567654579912727</v>
      </c>
      <c r="DX86" s="17">
        <f t="shared" si="49"/>
        <v>79.391980827408759</v>
      </c>
      <c r="DY86" s="17">
        <f t="shared" si="49"/>
        <v>76.216311112614008</v>
      </c>
      <c r="DZ86" s="17">
        <f t="shared" si="49"/>
        <v>73.040645169735612</v>
      </c>
      <c r="EA86" s="17">
        <f t="shared" si="49"/>
        <v>69.864982691654745</v>
      </c>
      <c r="EB86" s="17">
        <f t="shared" si="49"/>
        <v>66.689323333291611</v>
      </c>
      <c r="EC86" s="17">
        <f t="shared" si="49"/>
        <v>63.513666715386101</v>
      </c>
      <c r="ED86" s="17">
        <f t="shared" si="49"/>
        <v>60.338012428653094</v>
      </c>
      <c r="EE86" s="17">
        <f t="shared" si="49"/>
        <v>57.162360038266634</v>
      </c>
      <c r="EF86" s="17">
        <f t="shared" si="49"/>
        <v>53.986709088624004</v>
      </c>
      <c r="EG86" s="17">
        <f t="shared" si="49"/>
        <v>50.81105910833741</v>
      </c>
      <c r="EH86" s="17">
        <f t="shared" si="49"/>
        <v>47.635409615398579</v>
      </c>
    </row>
    <row r="87" spans="5:138" ht="15.6" x14ac:dyDescent="0.3">
      <c r="E87" s="25"/>
      <c r="F87" s="15">
        <v>5.6666666666666671E-2</v>
      </c>
      <c r="G87" s="17">
        <f t="shared" si="40"/>
        <v>300</v>
      </c>
      <c r="H87" s="17">
        <f t="shared" si="46"/>
        <v>293.33323995443413</v>
      </c>
      <c r="I87" s="17">
        <f t="shared" si="46"/>
        <v>286.66648093194709</v>
      </c>
      <c r="J87" s="17">
        <f t="shared" si="46"/>
        <v>279.9997239444084</v>
      </c>
      <c r="K87" s="17">
        <f t="shared" si="46"/>
        <v>273.33296998139269</v>
      </c>
      <c r="L87" s="17">
        <f t="shared" si="52"/>
        <v>266.66621999933687</v>
      </c>
      <c r="M87" s="17">
        <f t="shared" si="52"/>
        <v>259.99947491106172</v>
      </c>
      <c r="N87" s="17">
        <f t="shared" si="52"/>
        <v>253.33273557577093</v>
      </c>
      <c r="O87" s="17">
        <f t="shared" si="52"/>
        <v>246.6660027896371</v>
      </c>
      <c r="P87" s="17">
        <f t="shared" si="52"/>
        <v>239.99927727707893</v>
      </c>
      <c r="Q87" s="17">
        <f t="shared" si="52"/>
        <v>233.3325596828243</v>
      </c>
      <c r="R87" s="17">
        <f t="shared" si="52"/>
        <v>226.66585056484652</v>
      </c>
      <c r="S87" s="17">
        <f t="shared" si="52"/>
        <v>219.99915038825105</v>
      </c>
      <c r="T87" s="17">
        <f t="shared" si="52"/>
        <v>213.33245952017973</v>
      </c>
      <c r="U87" s="17">
        <f t="shared" si="52"/>
        <v>206.66577822578819</v>
      </c>
      <c r="V87" s="17">
        <f t="shared" si="52"/>
        <v>199.99910666534083</v>
      </c>
      <c r="W87" s="17">
        <f t="shared" si="52"/>
        <v>193.33244489245496</v>
      </c>
      <c r="X87" s="17">
        <f t="shared" si="52"/>
        <v>186.66579285351324</v>
      </c>
      <c r="Y87" s="17">
        <f t="shared" si="52"/>
        <v>179.99915038825122</v>
      </c>
      <c r="Z87" s="17">
        <f t="shared" si="52"/>
        <v>173.33251723151341</v>
      </c>
      <c r="AA87" s="17">
        <f t="shared" si="52"/>
        <v>166.66589301615784</v>
      </c>
      <c r="AB87" s="17">
        <f t="shared" si="52"/>
        <v>159.99927727707922</v>
      </c>
      <c r="AC87" s="17">
        <f t="shared" si="52"/>
        <v>153.33266945630413</v>
      </c>
      <c r="AD87" s="17">
        <f t="shared" si="52"/>
        <v>146.66606890910467</v>
      </c>
      <c r="AE87" s="17">
        <f t="shared" si="52"/>
        <v>139.99947491106212</v>
      </c>
      <c r="AF87" s="17">
        <f t="shared" si="52"/>
        <v>133.33288666600384</v>
      </c>
      <c r="AG87" s="17">
        <f t="shared" si="52"/>
        <v>126.66630331472636</v>
      </c>
      <c r="AH87" s="17">
        <f t="shared" si="52"/>
        <v>119.99972394440874</v>
      </c>
      <c r="AI87" s="17">
        <f t="shared" si="52"/>
        <v>113.33314759861392</v>
      </c>
      <c r="AJ87" s="17">
        <f t="shared" si="52"/>
        <v>106.66657328776756</v>
      </c>
      <c r="AK87" s="17">
        <f t="shared" si="42"/>
        <v>100</v>
      </c>
      <c r="AL87" s="25"/>
      <c r="AM87" s="15">
        <v>5.6666666666666671E-2</v>
      </c>
      <c r="AN87" s="17">
        <f t="shared" si="43"/>
        <v>-538200000</v>
      </c>
      <c r="AO87" s="17">
        <f t="shared" si="43"/>
        <v>-526239832.47825491</v>
      </c>
      <c r="AP87" s="17">
        <f t="shared" si="43"/>
        <v>-514279666.79191309</v>
      </c>
      <c r="AQ87" s="17">
        <f t="shared" si="43"/>
        <v>-502319504.7562688</v>
      </c>
      <c r="AR87" s="17">
        <f t="shared" si="43"/>
        <v>-490359348.14661849</v>
      </c>
      <c r="AS87" s="17">
        <f t="shared" si="43"/>
        <v>-478399198.67881024</v>
      </c>
      <c r="AT87" s="17">
        <f t="shared" si="43"/>
        <v>-466439057.99044466</v>
      </c>
      <c r="AU87" s="17">
        <f t="shared" si="43"/>
        <v>-454478927.62293303</v>
      </c>
      <c r="AV87" s="17">
        <f t="shared" si="43"/>
        <v>-442518809.00460887</v>
      </c>
      <c r="AW87" s="17">
        <f t="shared" si="43"/>
        <v>-430558703.43507957</v>
      </c>
      <c r="AX87" s="17">
        <f t="shared" si="43"/>
        <v>-418598612.07098681</v>
      </c>
      <c r="AY87" s="17">
        <f t="shared" si="43"/>
        <v>-406638535.91333467</v>
      </c>
      <c r="AZ87" s="17">
        <f t="shared" si="43"/>
        <v>-394678475.79652238</v>
      </c>
      <c r="BA87" s="17">
        <f t="shared" si="43"/>
        <v>-382718432.37920243</v>
      </c>
      <c r="BB87" s="17">
        <f t="shared" si="43"/>
        <v>-370758406.13706398</v>
      </c>
      <c r="BC87" s="17">
        <f t="shared" si="43"/>
        <v>-358798397.35762143</v>
      </c>
      <c r="BD87" s="17">
        <f t="shared" si="47"/>
        <v>-346838406.13706416</v>
      </c>
      <c r="BE87" s="17">
        <f t="shared" si="47"/>
        <v>-334878432.37920272</v>
      </c>
      <c r="BF87" s="17">
        <f t="shared" si="47"/>
        <v>-322918475.79652268</v>
      </c>
      <c r="BG87" s="17">
        <f t="shared" si="47"/>
        <v>-310958535.91333503</v>
      </c>
      <c r="BH87" s="17">
        <f t="shared" si="47"/>
        <v>-298998612.07098716</v>
      </c>
      <c r="BI87" s="17">
        <f t="shared" si="47"/>
        <v>-287038703.43508005</v>
      </c>
      <c r="BJ87" s="17">
        <f t="shared" si="47"/>
        <v>-275078809.00460958</v>
      </c>
      <c r="BK87" s="17">
        <f t="shared" si="47"/>
        <v>-263118927.62293378</v>
      </c>
      <c r="BL87" s="17">
        <f t="shared" si="47"/>
        <v>-251159057.99044544</v>
      </c>
      <c r="BM87" s="17">
        <f t="shared" si="47"/>
        <v>-239199198.67881095</v>
      </c>
      <c r="BN87" s="17">
        <f t="shared" si="47"/>
        <v>-227239348.14661908</v>
      </c>
      <c r="BO87" s="17">
        <f t="shared" si="47"/>
        <v>-215279504.75626925</v>
      </c>
      <c r="BP87" s="17">
        <f t="shared" si="47"/>
        <v>-203319666.79191336</v>
      </c>
      <c r="BQ87" s="17">
        <f t="shared" si="47"/>
        <v>-191359832.478255</v>
      </c>
      <c r="BR87" s="17">
        <f t="shared" si="47"/>
        <v>-179400000</v>
      </c>
      <c r="BS87" s="7"/>
      <c r="BT87" s="25"/>
      <c r="BU87" s="15">
        <v>5.6666666666666671E-2</v>
      </c>
      <c r="BV87" s="17">
        <f t="shared" si="44"/>
        <v>0.52364590399355426</v>
      </c>
      <c r="BW87" s="17">
        <f t="shared" si="44"/>
        <v>0.52364590399355426</v>
      </c>
      <c r="BX87" s="17">
        <f t="shared" si="44"/>
        <v>0.52364590399355426</v>
      </c>
      <c r="BY87" s="17">
        <f t="shared" si="44"/>
        <v>0.52364590399355426</v>
      </c>
      <c r="BZ87" s="17">
        <f t="shared" si="44"/>
        <v>0.52364590399355426</v>
      </c>
      <c r="CA87" s="17">
        <f t="shared" si="44"/>
        <v>0.52364590399355426</v>
      </c>
      <c r="CB87" s="17">
        <f t="shared" si="44"/>
        <v>0.52364590399355426</v>
      </c>
      <c r="CC87" s="17">
        <f t="shared" si="44"/>
        <v>0.52364590399355426</v>
      </c>
      <c r="CD87" s="17">
        <f t="shared" si="44"/>
        <v>0.52364590399355426</v>
      </c>
      <c r="CE87" s="17">
        <f t="shared" si="44"/>
        <v>0.52364590399355426</v>
      </c>
      <c r="CF87" s="17">
        <f t="shared" si="44"/>
        <v>0.52364590399355426</v>
      </c>
      <c r="CG87" s="17">
        <f t="shared" si="44"/>
        <v>0.52364590399355426</v>
      </c>
      <c r="CH87" s="17">
        <f t="shared" si="44"/>
        <v>0.52364590399355426</v>
      </c>
      <c r="CI87" s="17">
        <f t="shared" si="44"/>
        <v>0.52364590399355426</v>
      </c>
      <c r="CJ87" s="17">
        <f t="shared" si="44"/>
        <v>0.52364590399355426</v>
      </c>
      <c r="CK87" s="17">
        <f t="shared" si="44"/>
        <v>0.52364590399355426</v>
      </c>
      <c r="CL87" s="17">
        <f t="shared" si="50"/>
        <v>0.52364590399355426</v>
      </c>
      <c r="CM87" s="17">
        <f t="shared" si="50"/>
        <v>0.52364590399355426</v>
      </c>
      <c r="CN87" s="17">
        <f t="shared" si="50"/>
        <v>0.52364590399355426</v>
      </c>
      <c r="CO87" s="17">
        <f t="shared" si="50"/>
        <v>0.52364590399355426</v>
      </c>
      <c r="CP87" s="17">
        <f t="shared" si="50"/>
        <v>0.52364590399355426</v>
      </c>
      <c r="CQ87" s="17">
        <f t="shared" si="50"/>
        <v>0.52364590399355426</v>
      </c>
      <c r="CR87" s="17">
        <f t="shared" si="50"/>
        <v>0.52364590399355426</v>
      </c>
      <c r="CS87" s="17">
        <f t="shared" si="50"/>
        <v>0.52364590399355426</v>
      </c>
      <c r="CT87" s="17">
        <f t="shared" si="50"/>
        <v>0.52364590399355426</v>
      </c>
      <c r="CU87" s="17">
        <f t="shared" si="48"/>
        <v>0.52364590399355426</v>
      </c>
      <c r="CV87" s="17">
        <f t="shared" si="48"/>
        <v>0.52364590399355426</v>
      </c>
      <c r="CW87" s="17">
        <f t="shared" si="48"/>
        <v>0.52364590399355426</v>
      </c>
      <c r="CX87" s="17">
        <f t="shared" si="48"/>
        <v>0.52364590399355426</v>
      </c>
      <c r="CY87" s="17">
        <f t="shared" si="48"/>
        <v>0.52364590399355426</v>
      </c>
      <c r="CZ87" s="17">
        <f t="shared" si="48"/>
        <v>0.52364590399355426</v>
      </c>
      <c r="DA87" s="7"/>
      <c r="DB87" s="25"/>
      <c r="DC87" s="15">
        <v>5.6666666666666671E-2</v>
      </c>
      <c r="DD87" s="17">
        <f t="shared" si="45"/>
        <v>142.90622880193374</v>
      </c>
      <c r="DE87" s="17">
        <f t="shared" si="45"/>
        <v>139.73049034713631</v>
      </c>
      <c r="DF87" s="17">
        <f t="shared" si="45"/>
        <v>136.55475237968668</v>
      </c>
      <c r="DG87" s="17">
        <f t="shared" si="45"/>
        <v>133.37901538159304</v>
      </c>
      <c r="DH87" s="17">
        <f t="shared" si="45"/>
        <v>130.20327982424328</v>
      </c>
      <c r="DI87" s="17">
        <f t="shared" si="45"/>
        <v>127.02754616324007</v>
      </c>
      <c r="DJ87" s="17">
        <f t="shared" si="45"/>
        <v>123.85181483340935</v>
      </c>
      <c r="DK87" s="17">
        <f t="shared" si="45"/>
        <v>120.6760862440363</v>
      </c>
      <c r="DL87" s="17">
        <f t="shared" si="45"/>
        <v>117.50036077438099</v>
      </c>
      <c r="DM87" s="17">
        <f t="shared" si="45"/>
        <v>114.32463876952323</v>
      </c>
      <c r="DN87" s="17">
        <f t="shared" si="45"/>
        <v>111.1489205365818</v>
      </c>
      <c r="DO87" s="17">
        <f t="shared" si="45"/>
        <v>107.97320634134957</v>
      </c>
      <c r="DP87" s="17">
        <f t="shared" si="45"/>
        <v>104.79749640538141</v>
      </c>
      <c r="DQ87" s="17">
        <f t="shared" si="45"/>
        <v>101.62179090356688</v>
      </c>
      <c r="DR87" s="17">
        <f t="shared" si="45"/>
        <v>98.446089962213918</v>
      </c>
      <c r="DS87" s="17">
        <f t="shared" si="45"/>
        <v>95.270393657665124</v>
      </c>
      <c r="DT87" s="17">
        <f t="shared" si="51"/>
        <v>92.094702015461351</v>
      </c>
      <c r="DU87" s="17">
        <f t="shared" si="49"/>
        <v>88.919015010061742</v>
      </c>
      <c r="DV87" s="17">
        <f t="shared" si="49"/>
        <v>85.743332565123666</v>
      </c>
      <c r="DW87" s="17">
        <f t="shared" si="49"/>
        <v>82.567654554339228</v>
      </c>
      <c r="DX87" s="17">
        <f t="shared" si="49"/>
        <v>79.391980802818836</v>
      </c>
      <c r="DY87" s="17">
        <f t="shared" si="49"/>
        <v>76.216311089007704</v>
      </c>
      <c r="DZ87" s="17">
        <f t="shared" si="49"/>
        <v>73.040645147112897</v>
      </c>
      <c r="EA87" s="17">
        <f t="shared" si="49"/>
        <v>69.864982670015635</v>
      </c>
      <c r="EB87" s="17">
        <f t="shared" si="49"/>
        <v>66.689323312636077</v>
      </c>
      <c r="EC87" s="17">
        <f t="shared" si="49"/>
        <v>63.51366669571415</v>
      </c>
      <c r="ED87" s="17">
        <f t="shared" si="49"/>
        <v>60.338012409964733</v>
      </c>
      <c r="EE87" s="17">
        <f t="shared" si="49"/>
        <v>57.162360020561863</v>
      </c>
      <c r="EF87" s="17">
        <f t="shared" si="49"/>
        <v>53.986709071902816</v>
      </c>
      <c r="EG87" s="17">
        <f t="shared" si="49"/>
        <v>50.811059092599805</v>
      </c>
      <c r="EH87" s="17">
        <f t="shared" si="49"/>
        <v>47.635409600644564</v>
      </c>
    </row>
    <row r="88" spans="5:138" ht="15.6" x14ac:dyDescent="0.3">
      <c r="E88" s="25"/>
      <c r="F88" s="15">
        <v>5.3333333333333337E-2</v>
      </c>
      <c r="G88" s="17">
        <f t="shared" si="40"/>
        <v>300</v>
      </c>
      <c r="H88" s="17">
        <f t="shared" si="46"/>
        <v>293.33323995443413</v>
      </c>
      <c r="I88" s="17">
        <f t="shared" si="46"/>
        <v>286.66648093194704</v>
      </c>
      <c r="J88" s="17">
        <f t="shared" si="46"/>
        <v>279.9997239444084</v>
      </c>
      <c r="K88" s="17">
        <f t="shared" si="46"/>
        <v>273.33296998139269</v>
      </c>
      <c r="L88" s="17">
        <f t="shared" si="52"/>
        <v>266.66621999933682</v>
      </c>
      <c r="M88" s="17">
        <f t="shared" si="52"/>
        <v>259.99947491106172</v>
      </c>
      <c r="N88" s="17">
        <f t="shared" si="52"/>
        <v>253.33273557577093</v>
      </c>
      <c r="O88" s="17">
        <f t="shared" si="52"/>
        <v>246.66600278963708</v>
      </c>
      <c r="P88" s="17">
        <f t="shared" si="52"/>
        <v>239.99927727707887</v>
      </c>
      <c r="Q88" s="17">
        <f t="shared" si="52"/>
        <v>233.33255968282427</v>
      </c>
      <c r="R88" s="17">
        <f t="shared" si="52"/>
        <v>226.66585056484649</v>
      </c>
      <c r="S88" s="17">
        <f t="shared" si="52"/>
        <v>219.99915038825105</v>
      </c>
      <c r="T88" s="17">
        <f t="shared" si="52"/>
        <v>213.3324595201797</v>
      </c>
      <c r="U88" s="17">
        <f t="shared" si="52"/>
        <v>206.66577822578816</v>
      </c>
      <c r="V88" s="17">
        <f t="shared" si="52"/>
        <v>199.9991066653408</v>
      </c>
      <c r="W88" s="17">
        <f t="shared" si="52"/>
        <v>193.33244489245493</v>
      </c>
      <c r="X88" s="17">
        <f t="shared" si="52"/>
        <v>186.66579285351321</v>
      </c>
      <c r="Y88" s="17">
        <f t="shared" si="52"/>
        <v>179.99915038825119</v>
      </c>
      <c r="Z88" s="17">
        <f t="shared" si="52"/>
        <v>173.33251723151341</v>
      </c>
      <c r="AA88" s="17">
        <f t="shared" si="52"/>
        <v>166.66589301615781</v>
      </c>
      <c r="AB88" s="17">
        <f t="shared" si="52"/>
        <v>159.99927727707919</v>
      </c>
      <c r="AC88" s="17">
        <f t="shared" si="52"/>
        <v>153.33266945630413</v>
      </c>
      <c r="AD88" s="17">
        <f t="shared" si="52"/>
        <v>146.66606890910467</v>
      </c>
      <c r="AE88" s="17">
        <f t="shared" si="52"/>
        <v>139.99947491106212</v>
      </c>
      <c r="AF88" s="17">
        <f t="shared" si="52"/>
        <v>133.33288666600384</v>
      </c>
      <c r="AG88" s="17">
        <f t="shared" si="52"/>
        <v>126.66630331472636</v>
      </c>
      <c r="AH88" s="17">
        <f t="shared" si="52"/>
        <v>119.99972394440874</v>
      </c>
      <c r="AI88" s="17">
        <f t="shared" si="52"/>
        <v>113.33314759861392</v>
      </c>
      <c r="AJ88" s="17">
        <f t="shared" si="52"/>
        <v>106.66657328776756</v>
      </c>
      <c r="AK88" s="17">
        <f t="shared" si="42"/>
        <v>100</v>
      </c>
      <c r="AL88" s="25"/>
      <c r="AM88" s="15">
        <v>5.3333333333333337E-2</v>
      </c>
      <c r="AN88" s="17">
        <f t="shared" si="43"/>
        <v>-538200000</v>
      </c>
      <c r="AO88" s="17">
        <f t="shared" si="43"/>
        <v>-526239832.47825491</v>
      </c>
      <c r="AP88" s="17">
        <f t="shared" si="43"/>
        <v>-514279666.79191309</v>
      </c>
      <c r="AQ88" s="17">
        <f t="shared" si="43"/>
        <v>-502319504.7562688</v>
      </c>
      <c r="AR88" s="17">
        <f t="shared" si="43"/>
        <v>-490359348.14661849</v>
      </c>
      <c r="AS88" s="17">
        <f t="shared" si="43"/>
        <v>-478399198.67881024</v>
      </c>
      <c r="AT88" s="17">
        <f t="shared" si="43"/>
        <v>-466439057.99044466</v>
      </c>
      <c r="AU88" s="17">
        <f t="shared" si="43"/>
        <v>-454478927.62293297</v>
      </c>
      <c r="AV88" s="17">
        <f t="shared" si="43"/>
        <v>-442518809.00460887</v>
      </c>
      <c r="AW88" s="17">
        <f t="shared" si="43"/>
        <v>-430558703.43507951</v>
      </c>
      <c r="AX88" s="17">
        <f t="shared" si="43"/>
        <v>-418598612.07098669</v>
      </c>
      <c r="AY88" s="17">
        <f t="shared" si="43"/>
        <v>-406638535.91333461</v>
      </c>
      <c r="AZ88" s="17">
        <f t="shared" si="43"/>
        <v>-394678475.79652232</v>
      </c>
      <c r="BA88" s="17">
        <f t="shared" si="43"/>
        <v>-382718432.37920231</v>
      </c>
      <c r="BB88" s="17">
        <f t="shared" si="43"/>
        <v>-370758406.13706392</v>
      </c>
      <c r="BC88" s="17">
        <f t="shared" si="43"/>
        <v>-358798397.35762137</v>
      </c>
      <c r="BD88" s="17">
        <f t="shared" si="47"/>
        <v>-346838406.1370641</v>
      </c>
      <c r="BE88" s="17">
        <f t="shared" si="47"/>
        <v>-334878432.37920266</v>
      </c>
      <c r="BF88" s="17">
        <f t="shared" si="47"/>
        <v>-322918475.79652262</v>
      </c>
      <c r="BG88" s="17">
        <f t="shared" si="47"/>
        <v>-310958535.91333497</v>
      </c>
      <c r="BH88" s="17">
        <f t="shared" si="47"/>
        <v>-298998612.07098711</v>
      </c>
      <c r="BI88" s="17">
        <f t="shared" si="47"/>
        <v>-287038703.43507999</v>
      </c>
      <c r="BJ88" s="17">
        <f t="shared" si="47"/>
        <v>-275078809.00460958</v>
      </c>
      <c r="BK88" s="17">
        <f t="shared" si="47"/>
        <v>-263118927.62293378</v>
      </c>
      <c r="BL88" s="17">
        <f t="shared" si="47"/>
        <v>-251159057.99044544</v>
      </c>
      <c r="BM88" s="17">
        <f t="shared" si="47"/>
        <v>-239199198.67881089</v>
      </c>
      <c r="BN88" s="17">
        <f t="shared" si="47"/>
        <v>-227239348.14661908</v>
      </c>
      <c r="BO88" s="17">
        <f t="shared" si="47"/>
        <v>-215279504.75626925</v>
      </c>
      <c r="BP88" s="17">
        <f t="shared" si="47"/>
        <v>-203319666.79191336</v>
      </c>
      <c r="BQ88" s="17">
        <f t="shared" si="47"/>
        <v>-191359832.478255</v>
      </c>
      <c r="BR88" s="17">
        <f t="shared" si="47"/>
        <v>-179400000</v>
      </c>
      <c r="BS88" s="7"/>
      <c r="BT88" s="25"/>
      <c r="BU88" s="15">
        <v>5.3333333333333337E-2</v>
      </c>
      <c r="BV88" s="17">
        <f t="shared" si="44"/>
        <v>0.52364590453161919</v>
      </c>
      <c r="BW88" s="17">
        <f t="shared" si="44"/>
        <v>0.52364590453161919</v>
      </c>
      <c r="BX88" s="17">
        <f t="shared" si="44"/>
        <v>0.52364590453161919</v>
      </c>
      <c r="BY88" s="17">
        <f t="shared" si="44"/>
        <v>0.52364590453161919</v>
      </c>
      <c r="BZ88" s="17">
        <f t="shared" si="44"/>
        <v>0.52364590453161919</v>
      </c>
      <c r="CA88" s="17">
        <f t="shared" si="44"/>
        <v>0.52364590453161919</v>
      </c>
      <c r="CB88" s="17">
        <f t="shared" si="44"/>
        <v>0.52364590453161919</v>
      </c>
      <c r="CC88" s="17">
        <f t="shared" si="44"/>
        <v>0.52364590453161919</v>
      </c>
      <c r="CD88" s="17">
        <f t="shared" si="44"/>
        <v>0.52364590453161919</v>
      </c>
      <c r="CE88" s="17">
        <f t="shared" si="44"/>
        <v>0.52364590453161919</v>
      </c>
      <c r="CF88" s="17">
        <f t="shared" si="44"/>
        <v>0.52364590453161919</v>
      </c>
      <c r="CG88" s="17">
        <f t="shared" si="44"/>
        <v>0.52364590453161919</v>
      </c>
      <c r="CH88" s="17">
        <f t="shared" si="44"/>
        <v>0.52364590453161919</v>
      </c>
      <c r="CI88" s="17">
        <f t="shared" si="44"/>
        <v>0.52364590453161919</v>
      </c>
      <c r="CJ88" s="17">
        <f t="shared" si="44"/>
        <v>0.52364590453161919</v>
      </c>
      <c r="CK88" s="17">
        <f t="shared" si="44"/>
        <v>0.52364590453161919</v>
      </c>
      <c r="CL88" s="17">
        <f t="shared" si="50"/>
        <v>0.52364590453161919</v>
      </c>
      <c r="CM88" s="17">
        <f t="shared" si="50"/>
        <v>0.52364590453161919</v>
      </c>
      <c r="CN88" s="17">
        <f t="shared" si="50"/>
        <v>0.52364590453161919</v>
      </c>
      <c r="CO88" s="17">
        <f t="shared" si="50"/>
        <v>0.52364590453161919</v>
      </c>
      <c r="CP88" s="17">
        <f t="shared" si="50"/>
        <v>0.52364590453161919</v>
      </c>
      <c r="CQ88" s="17">
        <f t="shared" si="50"/>
        <v>0.52364590453161919</v>
      </c>
      <c r="CR88" s="17">
        <f t="shared" si="50"/>
        <v>0.52364590453161919</v>
      </c>
      <c r="CS88" s="17">
        <f t="shared" si="50"/>
        <v>0.52364590453161919</v>
      </c>
      <c r="CT88" s="17">
        <f t="shared" si="50"/>
        <v>0.52364590453161919</v>
      </c>
      <c r="CU88" s="17">
        <f t="shared" si="48"/>
        <v>0.52364590453161919</v>
      </c>
      <c r="CV88" s="17">
        <f t="shared" si="48"/>
        <v>0.52364590453161919</v>
      </c>
      <c r="CW88" s="17">
        <f t="shared" si="48"/>
        <v>0.52364590453161919</v>
      </c>
      <c r="CX88" s="17">
        <f t="shared" si="48"/>
        <v>0.52364590453161919</v>
      </c>
      <c r="CY88" s="17">
        <f t="shared" si="48"/>
        <v>0.52364590453161919</v>
      </c>
      <c r="CZ88" s="17">
        <f t="shared" si="48"/>
        <v>0.52364590453161919</v>
      </c>
      <c r="DA88" s="7"/>
      <c r="DB88" s="25"/>
      <c r="DC88" s="15">
        <v>5.3333333333333337E-2</v>
      </c>
      <c r="DD88" s="17">
        <f t="shared" si="45"/>
        <v>142.90622864051426</v>
      </c>
      <c r="DE88" s="17">
        <f t="shared" si="45"/>
        <v>139.73049018930399</v>
      </c>
      <c r="DF88" s="17">
        <f t="shared" si="45"/>
        <v>136.55475222544146</v>
      </c>
      <c r="DG88" s="17">
        <f t="shared" si="45"/>
        <v>133.37901523093501</v>
      </c>
      <c r="DH88" s="17">
        <f t="shared" si="45"/>
        <v>130.20327967717239</v>
      </c>
      <c r="DI88" s="17">
        <f t="shared" si="45"/>
        <v>127.02754601975631</v>
      </c>
      <c r="DJ88" s="17">
        <f t="shared" si="45"/>
        <v>123.85181469351275</v>
      </c>
      <c r="DK88" s="17">
        <f t="shared" si="45"/>
        <v>120.67608610772685</v>
      </c>
      <c r="DL88" s="17">
        <f t="shared" si="45"/>
        <v>117.50036064165866</v>
      </c>
      <c r="DM88" s="17">
        <f t="shared" si="45"/>
        <v>114.32463864038802</v>
      </c>
      <c r="DN88" s="17">
        <f t="shared" si="45"/>
        <v>111.14892041103371</v>
      </c>
      <c r="DO88" s="17">
        <f t="shared" si="45"/>
        <v>107.97320621938862</v>
      </c>
      <c r="DP88" s="17">
        <f t="shared" si="45"/>
        <v>104.79749628700759</v>
      </c>
      <c r="DQ88" s="17">
        <f t="shared" si="45"/>
        <v>101.62179078878015</v>
      </c>
      <c r="DR88" s="17">
        <f t="shared" si="45"/>
        <v>98.446089851014293</v>
      </c>
      <c r="DS88" s="17">
        <f t="shared" si="45"/>
        <v>95.270393550052617</v>
      </c>
      <c r="DT88" s="17">
        <f t="shared" si="51"/>
        <v>92.094701911435934</v>
      </c>
      <c r="DU88" s="17">
        <f t="shared" si="49"/>
        <v>88.919014909623428</v>
      </c>
      <c r="DV88" s="17">
        <f t="shared" si="49"/>
        <v>85.743332468272428</v>
      </c>
      <c r="DW88" s="17">
        <f t="shared" si="49"/>
        <v>82.56765446107508</v>
      </c>
      <c r="DX88" s="17">
        <f t="shared" si="49"/>
        <v>79.391980713141763</v>
      </c>
      <c r="DY88" s="17">
        <f t="shared" si="49"/>
        <v>76.216311002917692</v>
      </c>
      <c r="DZ88" s="17">
        <f t="shared" si="49"/>
        <v>73.040645064609976</v>
      </c>
      <c r="EA88" s="17">
        <f t="shared" si="49"/>
        <v>69.864982591099761</v>
      </c>
      <c r="EB88" s="17">
        <f t="shared" si="49"/>
        <v>66.689323237307264</v>
      </c>
      <c r="EC88" s="17">
        <f t="shared" si="49"/>
        <v>63.513666623972398</v>
      </c>
      <c r="ED88" s="17">
        <f t="shared" si="49"/>
        <v>60.338012341810042</v>
      </c>
      <c r="EE88" s="17">
        <f t="shared" si="49"/>
        <v>57.162359955994219</v>
      </c>
      <c r="EF88" s="17">
        <f t="shared" si="49"/>
        <v>53.986709010922226</v>
      </c>
      <c r="EG88" s="17">
        <f t="shared" si="49"/>
        <v>50.81105903520627</v>
      </c>
      <c r="EH88" s="17">
        <f t="shared" si="49"/>
        <v>47.635409546838076</v>
      </c>
    </row>
    <row r="89" spans="5:138" ht="15.6" x14ac:dyDescent="0.3">
      <c r="E89" s="25"/>
      <c r="F89" s="15">
        <v>0.05</v>
      </c>
      <c r="G89" s="17">
        <f t="shared" si="40"/>
        <v>300</v>
      </c>
      <c r="H89" s="17">
        <f t="shared" si="46"/>
        <v>293.33323995443413</v>
      </c>
      <c r="I89" s="17">
        <f t="shared" si="46"/>
        <v>286.66648093194704</v>
      </c>
      <c r="J89" s="17">
        <f t="shared" si="46"/>
        <v>279.9997239444084</v>
      </c>
      <c r="K89" s="17">
        <f t="shared" si="46"/>
        <v>273.33296998139264</v>
      </c>
      <c r="L89" s="17">
        <f t="shared" si="52"/>
        <v>266.66621999933676</v>
      </c>
      <c r="M89" s="17">
        <f t="shared" si="52"/>
        <v>259.99947491106167</v>
      </c>
      <c r="N89" s="17">
        <f t="shared" si="52"/>
        <v>253.3327355757709</v>
      </c>
      <c r="O89" s="17">
        <f t="shared" si="52"/>
        <v>246.66600278963705</v>
      </c>
      <c r="P89" s="17">
        <f t="shared" si="52"/>
        <v>239.99927727707885</v>
      </c>
      <c r="Q89" s="17">
        <f t="shared" si="52"/>
        <v>233.33255968282421</v>
      </c>
      <c r="R89" s="17">
        <f t="shared" si="52"/>
        <v>226.66585056484647</v>
      </c>
      <c r="S89" s="17">
        <f t="shared" si="52"/>
        <v>219.999150388251</v>
      </c>
      <c r="T89" s="17">
        <f t="shared" si="52"/>
        <v>213.33245952017967</v>
      </c>
      <c r="U89" s="17">
        <f t="shared" si="52"/>
        <v>206.66577822578813</v>
      </c>
      <c r="V89" s="17">
        <f t="shared" si="52"/>
        <v>199.99910666534078</v>
      </c>
      <c r="W89" s="17">
        <f t="shared" si="52"/>
        <v>193.33244489245493</v>
      </c>
      <c r="X89" s="17">
        <f t="shared" si="52"/>
        <v>186.66579285351321</v>
      </c>
      <c r="Y89" s="17">
        <f t="shared" si="52"/>
        <v>179.99915038825117</v>
      </c>
      <c r="Z89" s="17">
        <f t="shared" si="52"/>
        <v>173.33251723151335</v>
      </c>
      <c r="AA89" s="17">
        <f t="shared" si="52"/>
        <v>166.66589301615778</v>
      </c>
      <c r="AB89" s="17">
        <f t="shared" si="52"/>
        <v>159.99927727707916</v>
      </c>
      <c r="AC89" s="17">
        <f t="shared" si="52"/>
        <v>153.3326694563041</v>
      </c>
      <c r="AD89" s="17">
        <f t="shared" si="52"/>
        <v>146.66606890910464</v>
      </c>
      <c r="AE89" s="17">
        <f t="shared" si="52"/>
        <v>139.99947491106209</v>
      </c>
      <c r="AF89" s="17">
        <f t="shared" si="52"/>
        <v>133.33288666600384</v>
      </c>
      <c r="AG89" s="17">
        <f t="shared" si="52"/>
        <v>126.66630331472635</v>
      </c>
      <c r="AH89" s="17">
        <f t="shared" si="52"/>
        <v>119.99972394440873</v>
      </c>
      <c r="AI89" s="17">
        <f t="shared" si="52"/>
        <v>113.33314759861392</v>
      </c>
      <c r="AJ89" s="17">
        <f t="shared" si="52"/>
        <v>106.66657328776756</v>
      </c>
      <c r="AK89" s="17">
        <f t="shared" si="42"/>
        <v>100</v>
      </c>
      <c r="AL89" s="25"/>
      <c r="AM89" s="15">
        <v>0.05</v>
      </c>
      <c r="AN89" s="17">
        <f t="shared" si="43"/>
        <v>-538200000</v>
      </c>
      <c r="AO89" s="17">
        <f t="shared" si="43"/>
        <v>-526239832.47825485</v>
      </c>
      <c r="AP89" s="17">
        <f t="shared" si="43"/>
        <v>-514279666.79191297</v>
      </c>
      <c r="AQ89" s="17">
        <f t="shared" si="43"/>
        <v>-502319504.75626868</v>
      </c>
      <c r="AR89" s="17">
        <f t="shared" si="43"/>
        <v>-490359348.14661831</v>
      </c>
      <c r="AS89" s="17">
        <f t="shared" si="43"/>
        <v>-478399198.67881006</v>
      </c>
      <c r="AT89" s="17">
        <f t="shared" si="43"/>
        <v>-466439057.99044454</v>
      </c>
      <c r="AU89" s="17">
        <f t="shared" si="43"/>
        <v>-454478927.62293291</v>
      </c>
      <c r="AV89" s="17">
        <f t="shared" si="43"/>
        <v>-442518809.00460875</v>
      </c>
      <c r="AW89" s="17">
        <f t="shared" si="43"/>
        <v>-430558703.4350794</v>
      </c>
      <c r="AX89" s="17">
        <f t="shared" si="43"/>
        <v>-418598612.07098657</v>
      </c>
      <c r="AY89" s="17">
        <f t="shared" si="43"/>
        <v>-406638535.91333449</v>
      </c>
      <c r="AZ89" s="17">
        <f t="shared" si="43"/>
        <v>-394678475.79652226</v>
      </c>
      <c r="BA89" s="17">
        <f t="shared" si="43"/>
        <v>-382718432.37920231</v>
      </c>
      <c r="BB89" s="17">
        <f t="shared" si="43"/>
        <v>-370758406.13706392</v>
      </c>
      <c r="BC89" s="17">
        <f t="shared" si="43"/>
        <v>-358798397.35762137</v>
      </c>
      <c r="BD89" s="17">
        <f t="shared" si="47"/>
        <v>-346838406.1370641</v>
      </c>
      <c r="BE89" s="17">
        <f t="shared" si="47"/>
        <v>-334878432.37920266</v>
      </c>
      <c r="BF89" s="17">
        <f t="shared" si="47"/>
        <v>-322918475.79652262</v>
      </c>
      <c r="BG89" s="17">
        <f t="shared" si="47"/>
        <v>-310958535.91333497</v>
      </c>
      <c r="BH89" s="17">
        <f t="shared" si="47"/>
        <v>-298998612.07098705</v>
      </c>
      <c r="BI89" s="17">
        <f t="shared" si="47"/>
        <v>-287038703.43507999</v>
      </c>
      <c r="BJ89" s="17">
        <f t="shared" si="47"/>
        <v>-275078809.00460953</v>
      </c>
      <c r="BK89" s="17">
        <f t="shared" si="47"/>
        <v>-263118927.62293372</v>
      </c>
      <c r="BL89" s="17">
        <f t="shared" si="47"/>
        <v>-251159057.99044541</v>
      </c>
      <c r="BM89" s="17">
        <f t="shared" si="47"/>
        <v>-239199198.67881089</v>
      </c>
      <c r="BN89" s="17">
        <f t="shared" si="47"/>
        <v>-227239348.14661908</v>
      </c>
      <c r="BO89" s="17">
        <f t="shared" si="47"/>
        <v>-215279504.75626925</v>
      </c>
      <c r="BP89" s="17">
        <f t="shared" si="47"/>
        <v>-203319666.79191336</v>
      </c>
      <c r="BQ89" s="17">
        <f t="shared" si="47"/>
        <v>-191359832.478255</v>
      </c>
      <c r="BR89" s="17">
        <f t="shared" si="47"/>
        <v>-179400000</v>
      </c>
      <c r="BS89" s="7"/>
      <c r="BT89" s="25"/>
      <c r="BU89" s="15">
        <v>0.05</v>
      </c>
      <c r="BV89" s="17">
        <f t="shared" si="44"/>
        <v>0.5236459064938912</v>
      </c>
      <c r="BW89" s="17">
        <f t="shared" si="44"/>
        <v>0.5236459064938912</v>
      </c>
      <c r="BX89" s="17">
        <f t="shared" si="44"/>
        <v>0.5236459064938912</v>
      </c>
      <c r="BY89" s="17">
        <f t="shared" si="44"/>
        <v>0.5236459064938912</v>
      </c>
      <c r="BZ89" s="17">
        <f t="shared" si="44"/>
        <v>0.5236459064938912</v>
      </c>
      <c r="CA89" s="17">
        <f t="shared" si="44"/>
        <v>0.5236459064938912</v>
      </c>
      <c r="CB89" s="17">
        <f t="shared" si="44"/>
        <v>0.5236459064938912</v>
      </c>
      <c r="CC89" s="17">
        <f t="shared" si="44"/>
        <v>0.5236459064938912</v>
      </c>
      <c r="CD89" s="17">
        <f t="shared" si="44"/>
        <v>0.5236459064938912</v>
      </c>
      <c r="CE89" s="17">
        <f t="shared" si="44"/>
        <v>0.5236459064938912</v>
      </c>
      <c r="CF89" s="17">
        <f t="shared" si="44"/>
        <v>0.5236459064938912</v>
      </c>
      <c r="CG89" s="17">
        <f t="shared" si="44"/>
        <v>0.5236459064938912</v>
      </c>
      <c r="CH89" s="17">
        <f t="shared" si="44"/>
        <v>0.5236459064938912</v>
      </c>
      <c r="CI89" s="17">
        <f t="shared" si="44"/>
        <v>0.5236459064938912</v>
      </c>
      <c r="CJ89" s="17">
        <f t="shared" si="44"/>
        <v>0.5236459064938912</v>
      </c>
      <c r="CK89" s="17">
        <f t="shared" si="44"/>
        <v>0.5236459064938912</v>
      </c>
      <c r="CL89" s="17">
        <f t="shared" si="50"/>
        <v>0.5236459064938912</v>
      </c>
      <c r="CM89" s="17">
        <f t="shared" si="50"/>
        <v>0.5236459064938912</v>
      </c>
      <c r="CN89" s="17">
        <f t="shared" si="50"/>
        <v>0.5236459064938912</v>
      </c>
      <c r="CO89" s="17">
        <f t="shared" si="50"/>
        <v>0.5236459064938912</v>
      </c>
      <c r="CP89" s="17">
        <f t="shared" si="50"/>
        <v>0.5236459064938912</v>
      </c>
      <c r="CQ89" s="17">
        <f t="shared" si="50"/>
        <v>0.5236459064938912</v>
      </c>
      <c r="CR89" s="17">
        <f t="shared" si="50"/>
        <v>0.5236459064938912</v>
      </c>
      <c r="CS89" s="17">
        <f t="shared" si="50"/>
        <v>0.5236459064938912</v>
      </c>
      <c r="CT89" s="17">
        <f t="shared" si="50"/>
        <v>0.5236459064938912</v>
      </c>
      <c r="CU89" s="17">
        <f t="shared" si="48"/>
        <v>0.5236459064938912</v>
      </c>
      <c r="CV89" s="17">
        <f t="shared" si="48"/>
        <v>0.5236459064938912</v>
      </c>
      <c r="CW89" s="17">
        <f t="shared" si="48"/>
        <v>0.5236459064938912</v>
      </c>
      <c r="CX89" s="17">
        <f t="shared" si="48"/>
        <v>0.5236459064938912</v>
      </c>
      <c r="CY89" s="17">
        <f t="shared" si="48"/>
        <v>0.5236459064938912</v>
      </c>
      <c r="CZ89" s="17">
        <f t="shared" si="48"/>
        <v>0.5236459064938912</v>
      </c>
      <c r="DA89" s="7"/>
      <c r="DB89" s="25"/>
      <c r="DC89" s="15">
        <v>0.05</v>
      </c>
      <c r="DD89" s="17">
        <f t="shared" si="45"/>
        <v>142.90622805183264</v>
      </c>
      <c r="DE89" s="17">
        <f t="shared" si="45"/>
        <v>139.73048961370435</v>
      </c>
      <c r="DF89" s="17">
        <f t="shared" si="45"/>
        <v>136.55475166292385</v>
      </c>
      <c r="DG89" s="17">
        <f t="shared" si="45"/>
        <v>133.37901468149937</v>
      </c>
      <c r="DH89" s="17">
        <f t="shared" si="45"/>
        <v>130.20327914081872</v>
      </c>
      <c r="DI89" s="17">
        <f t="shared" si="45"/>
        <v>127.02754549648462</v>
      </c>
      <c r="DJ89" s="17">
        <f t="shared" si="45"/>
        <v>123.85181418332303</v>
      </c>
      <c r="DK89" s="17">
        <f t="shared" si="45"/>
        <v>120.67608561061908</v>
      </c>
      <c r="DL89" s="17">
        <f t="shared" si="45"/>
        <v>117.50036015763284</v>
      </c>
      <c r="DM89" s="17">
        <f t="shared" si="45"/>
        <v>114.32463816944413</v>
      </c>
      <c r="DN89" s="17">
        <f t="shared" si="45"/>
        <v>111.14891995317173</v>
      </c>
      <c r="DO89" s="17">
        <f t="shared" si="45"/>
        <v>107.97320577460854</v>
      </c>
      <c r="DP89" s="17">
        <f t="shared" si="45"/>
        <v>104.79749585530939</v>
      </c>
      <c r="DQ89" s="17">
        <f t="shared" si="45"/>
        <v>101.62179037016382</v>
      </c>
      <c r="DR89" s="17">
        <f t="shared" si="45"/>
        <v>98.446089445479814</v>
      </c>
      <c r="DS89" s="17">
        <f t="shared" si="45"/>
        <v>95.270393157599969</v>
      </c>
      <c r="DT89" s="17">
        <f t="shared" si="51"/>
        <v>92.094701532065088</v>
      </c>
      <c r="DU89" s="17">
        <f t="shared" si="49"/>
        <v>88.919014543334356</v>
      </c>
      <c r="DV89" s="17">
        <f t="shared" si="49"/>
        <v>85.743332115065115</v>
      </c>
      <c r="DW89" s="17">
        <f t="shared" si="49"/>
        <v>82.567654120949513</v>
      </c>
      <c r="DX89" s="17">
        <f t="shared" si="49"/>
        <v>79.391980386097941</v>
      </c>
      <c r="DY89" s="17">
        <f t="shared" si="49"/>
        <v>76.216310688955588</v>
      </c>
      <c r="DZ89" s="17">
        <f t="shared" si="49"/>
        <v>73.040644763729546</v>
      </c>
      <c r="EA89" s="17">
        <f t="shared" si="49"/>
        <v>69.864982303301019</v>
      </c>
      <c r="EB89" s="17">
        <f t="shared" si="49"/>
        <v>66.689322962590197</v>
      </c>
      <c r="EC89" s="17">
        <f t="shared" si="49"/>
        <v>63.513666362336998</v>
      </c>
      <c r="ED89" s="17">
        <f t="shared" si="49"/>
        <v>60.338012093256289</v>
      </c>
      <c r="EE89" s="17">
        <f t="shared" si="49"/>
        <v>57.162359720522112</v>
      </c>
      <c r="EF89" s="17">
        <f t="shared" si="49"/>
        <v>53.986708788531757</v>
      </c>
      <c r="EG89" s="17">
        <f t="shared" si="49"/>
        <v>50.811058825897433</v>
      </c>
      <c r="EH89" s="17">
        <f t="shared" si="49"/>
        <v>47.635409350610871</v>
      </c>
    </row>
    <row r="90" spans="5:138" ht="15.6" x14ac:dyDescent="0.3">
      <c r="E90" s="25"/>
      <c r="F90" s="15">
        <v>4.6666666666666669E-2</v>
      </c>
      <c r="G90" s="17">
        <f t="shared" si="40"/>
        <v>300</v>
      </c>
      <c r="H90" s="17">
        <f t="shared" si="46"/>
        <v>293.33323995443413</v>
      </c>
      <c r="I90" s="17">
        <f t="shared" si="46"/>
        <v>286.66648093194704</v>
      </c>
      <c r="J90" s="17">
        <f t="shared" si="46"/>
        <v>279.9997239444084</v>
      </c>
      <c r="K90" s="17">
        <f t="shared" si="46"/>
        <v>273.33296998139264</v>
      </c>
      <c r="L90" s="17">
        <f t="shared" si="52"/>
        <v>266.66621999933676</v>
      </c>
      <c r="M90" s="17">
        <f t="shared" si="52"/>
        <v>259.99947491106161</v>
      </c>
      <c r="N90" s="17">
        <f t="shared" si="52"/>
        <v>253.33273557577087</v>
      </c>
      <c r="O90" s="17">
        <f t="shared" si="52"/>
        <v>246.66600278963705</v>
      </c>
      <c r="P90" s="17">
        <f t="shared" si="52"/>
        <v>239.99927727707882</v>
      </c>
      <c r="Q90" s="17">
        <f t="shared" si="52"/>
        <v>233.33255968282418</v>
      </c>
      <c r="R90" s="17">
        <f t="shared" si="52"/>
        <v>226.66585056484644</v>
      </c>
      <c r="S90" s="17">
        <f t="shared" si="52"/>
        <v>219.999150388251</v>
      </c>
      <c r="T90" s="17">
        <f t="shared" si="52"/>
        <v>213.33245952017967</v>
      </c>
      <c r="U90" s="17">
        <f t="shared" si="52"/>
        <v>206.66577822578813</v>
      </c>
      <c r="V90" s="17">
        <f t="shared" si="52"/>
        <v>199.9991066653408</v>
      </c>
      <c r="W90" s="17">
        <f t="shared" si="52"/>
        <v>193.33244489245493</v>
      </c>
      <c r="X90" s="17">
        <f t="shared" si="52"/>
        <v>186.66579285351321</v>
      </c>
      <c r="Y90" s="17">
        <f t="shared" si="52"/>
        <v>179.99915038825117</v>
      </c>
      <c r="Z90" s="17">
        <f t="shared" si="52"/>
        <v>173.33251723151335</v>
      </c>
      <c r="AA90" s="17">
        <f t="shared" si="52"/>
        <v>166.66589301615778</v>
      </c>
      <c r="AB90" s="17">
        <f t="shared" si="52"/>
        <v>159.99927727707916</v>
      </c>
      <c r="AC90" s="17">
        <f t="shared" si="52"/>
        <v>153.3326694563041</v>
      </c>
      <c r="AD90" s="17">
        <f t="shared" si="52"/>
        <v>146.66606890910464</v>
      </c>
      <c r="AE90" s="17">
        <f t="shared" si="52"/>
        <v>139.99947491106209</v>
      </c>
      <c r="AF90" s="17">
        <f t="shared" si="52"/>
        <v>133.33288666600384</v>
      </c>
      <c r="AG90" s="17">
        <f t="shared" si="52"/>
        <v>126.66630331472635</v>
      </c>
      <c r="AH90" s="17">
        <f t="shared" si="52"/>
        <v>119.99972394440871</v>
      </c>
      <c r="AI90" s="17">
        <f t="shared" si="52"/>
        <v>113.33314759861392</v>
      </c>
      <c r="AJ90" s="17">
        <f t="shared" si="52"/>
        <v>106.66657328776756</v>
      </c>
      <c r="AK90" s="17">
        <f t="shared" si="42"/>
        <v>100</v>
      </c>
      <c r="AL90" s="25"/>
      <c r="AM90" s="15">
        <v>4.6666666666666669E-2</v>
      </c>
      <c r="AN90" s="17">
        <f t="shared" si="43"/>
        <v>-538200000</v>
      </c>
      <c r="AO90" s="17">
        <f t="shared" si="43"/>
        <v>-526239832.47825485</v>
      </c>
      <c r="AP90" s="17">
        <f t="shared" si="43"/>
        <v>-514279666.79191297</v>
      </c>
      <c r="AQ90" s="17">
        <f t="shared" si="43"/>
        <v>-502319504.75626868</v>
      </c>
      <c r="AR90" s="17">
        <f t="shared" si="43"/>
        <v>-490359348.14661831</v>
      </c>
      <c r="AS90" s="17">
        <f t="shared" si="43"/>
        <v>-478399198.67881006</v>
      </c>
      <c r="AT90" s="17">
        <f t="shared" si="43"/>
        <v>-466439057.99044454</v>
      </c>
      <c r="AU90" s="17">
        <f t="shared" si="43"/>
        <v>-454478927.62293291</v>
      </c>
      <c r="AV90" s="17">
        <f t="shared" si="43"/>
        <v>-442518809.00460875</v>
      </c>
      <c r="AW90" s="17">
        <f t="shared" si="43"/>
        <v>-430558703.4350794</v>
      </c>
      <c r="AX90" s="17">
        <f t="shared" si="43"/>
        <v>-418598612.07098657</v>
      </c>
      <c r="AY90" s="17">
        <f t="shared" si="43"/>
        <v>-406638535.91333449</v>
      </c>
      <c r="AZ90" s="17">
        <f t="shared" si="43"/>
        <v>-394678475.79652226</v>
      </c>
      <c r="BA90" s="17">
        <f t="shared" si="43"/>
        <v>-382718432.37920231</v>
      </c>
      <c r="BB90" s="17">
        <f t="shared" si="43"/>
        <v>-370758406.13706392</v>
      </c>
      <c r="BC90" s="17">
        <f t="shared" si="43"/>
        <v>-358798397.35762137</v>
      </c>
      <c r="BD90" s="17">
        <f t="shared" si="47"/>
        <v>-346838406.1370641</v>
      </c>
      <c r="BE90" s="17">
        <f t="shared" si="47"/>
        <v>-334878432.37920266</v>
      </c>
      <c r="BF90" s="17">
        <f t="shared" si="47"/>
        <v>-322918475.79652262</v>
      </c>
      <c r="BG90" s="17">
        <f t="shared" si="47"/>
        <v>-310958535.91333497</v>
      </c>
      <c r="BH90" s="17">
        <f t="shared" si="47"/>
        <v>-298998612.07098705</v>
      </c>
      <c r="BI90" s="17">
        <f t="shared" si="47"/>
        <v>-287038703.43507999</v>
      </c>
      <c r="BJ90" s="17">
        <f t="shared" si="47"/>
        <v>-275078809.00460953</v>
      </c>
      <c r="BK90" s="17">
        <f t="shared" si="47"/>
        <v>-263118927.62293372</v>
      </c>
      <c r="BL90" s="17">
        <f t="shared" si="47"/>
        <v>-251159057.99044541</v>
      </c>
      <c r="BM90" s="17">
        <f t="shared" si="47"/>
        <v>-239199198.67881089</v>
      </c>
      <c r="BN90" s="17">
        <f t="shared" si="47"/>
        <v>-227239348.14661908</v>
      </c>
      <c r="BO90" s="17">
        <f t="shared" si="47"/>
        <v>-215279504.75626925</v>
      </c>
      <c r="BP90" s="17">
        <f t="shared" si="47"/>
        <v>-203319666.79191336</v>
      </c>
      <c r="BQ90" s="17">
        <f t="shared" si="47"/>
        <v>-191359832.478255</v>
      </c>
      <c r="BR90" s="17">
        <f t="shared" si="47"/>
        <v>-179400000</v>
      </c>
      <c r="BS90" s="7"/>
      <c r="BT90" s="25"/>
      <c r="BU90" s="15">
        <v>4.6666666666666669E-2</v>
      </c>
      <c r="BV90" s="17">
        <f t="shared" si="44"/>
        <v>0.52364591365011315</v>
      </c>
      <c r="BW90" s="17">
        <f t="shared" si="44"/>
        <v>0.52364591365011315</v>
      </c>
      <c r="BX90" s="17">
        <f t="shared" si="44"/>
        <v>0.52364591365011315</v>
      </c>
      <c r="BY90" s="17">
        <f t="shared" si="44"/>
        <v>0.52364591365011315</v>
      </c>
      <c r="BZ90" s="17">
        <f t="shared" si="44"/>
        <v>0.52364591365011315</v>
      </c>
      <c r="CA90" s="17">
        <f t="shared" si="44"/>
        <v>0.52364591365011315</v>
      </c>
      <c r="CB90" s="17">
        <f t="shared" si="44"/>
        <v>0.52364591365011315</v>
      </c>
      <c r="CC90" s="17">
        <f t="shared" si="44"/>
        <v>0.52364591365011315</v>
      </c>
      <c r="CD90" s="17">
        <f t="shared" si="44"/>
        <v>0.52364591365011315</v>
      </c>
      <c r="CE90" s="17">
        <f t="shared" si="44"/>
        <v>0.52364591365011315</v>
      </c>
      <c r="CF90" s="17">
        <f t="shared" si="44"/>
        <v>0.52364591365011315</v>
      </c>
      <c r="CG90" s="17">
        <f t="shared" si="44"/>
        <v>0.52364591365011315</v>
      </c>
      <c r="CH90" s="17">
        <f t="shared" si="44"/>
        <v>0.52364591365011315</v>
      </c>
      <c r="CI90" s="17">
        <f t="shared" si="44"/>
        <v>0.52364591365011315</v>
      </c>
      <c r="CJ90" s="17">
        <f t="shared" si="44"/>
        <v>0.52364591365011315</v>
      </c>
      <c r="CK90" s="17">
        <f t="shared" si="44"/>
        <v>0.52364591365011315</v>
      </c>
      <c r="CL90" s="17">
        <f t="shared" si="50"/>
        <v>0.52364591365011315</v>
      </c>
      <c r="CM90" s="17">
        <f t="shared" si="50"/>
        <v>0.52364591365011315</v>
      </c>
      <c r="CN90" s="17">
        <f t="shared" si="50"/>
        <v>0.52364591365011315</v>
      </c>
      <c r="CO90" s="17">
        <f t="shared" si="50"/>
        <v>0.52364591365011315</v>
      </c>
      <c r="CP90" s="17">
        <f t="shared" si="50"/>
        <v>0.52364591365011315</v>
      </c>
      <c r="CQ90" s="17">
        <f t="shared" si="50"/>
        <v>0.52364591365011315</v>
      </c>
      <c r="CR90" s="17">
        <f t="shared" si="50"/>
        <v>0.52364591365011315</v>
      </c>
      <c r="CS90" s="17">
        <f t="shared" si="50"/>
        <v>0.52364591365011315</v>
      </c>
      <c r="CT90" s="17">
        <f t="shared" si="50"/>
        <v>0.52364591365011315</v>
      </c>
      <c r="CU90" s="17">
        <f t="shared" si="48"/>
        <v>0.52364591365011315</v>
      </c>
      <c r="CV90" s="17">
        <f t="shared" si="48"/>
        <v>0.52364591365011315</v>
      </c>
      <c r="CW90" s="17">
        <f t="shared" si="48"/>
        <v>0.52364591365011315</v>
      </c>
      <c r="CX90" s="17">
        <f t="shared" si="48"/>
        <v>0.52364591365011315</v>
      </c>
      <c r="CY90" s="17">
        <f t="shared" si="48"/>
        <v>0.52364591365011315</v>
      </c>
      <c r="CZ90" s="17">
        <f t="shared" si="48"/>
        <v>0.52364591365011315</v>
      </c>
      <c r="DA90" s="7"/>
      <c r="DB90" s="25"/>
      <c r="DC90" s="15">
        <v>4.6666666666666669E-2</v>
      </c>
      <c r="DD90" s="17">
        <f t="shared" si="45"/>
        <v>142.90622590496608</v>
      </c>
      <c r="DE90" s="17">
        <f t="shared" si="45"/>
        <v>139.73048751454661</v>
      </c>
      <c r="DF90" s="17">
        <f t="shared" si="45"/>
        <v>136.5547496114749</v>
      </c>
      <c r="DG90" s="17">
        <f t="shared" si="45"/>
        <v>133.37901267775922</v>
      </c>
      <c r="DH90" s="17">
        <f t="shared" si="45"/>
        <v>130.20327718478734</v>
      </c>
      <c r="DI90" s="17">
        <f t="shared" si="45"/>
        <v>127.02754358816198</v>
      </c>
      <c r="DJ90" s="17">
        <f t="shared" si="45"/>
        <v>123.85181232270909</v>
      </c>
      <c r="DK90" s="17">
        <f t="shared" si="45"/>
        <v>120.67608379771382</v>
      </c>
      <c r="DL90" s="17">
        <f t="shared" si="45"/>
        <v>117.50035839243618</v>
      </c>
      <c r="DM90" s="17">
        <f t="shared" si="45"/>
        <v>114.32463645195604</v>
      </c>
      <c r="DN90" s="17">
        <f t="shared" si="45"/>
        <v>111.14891828339216</v>
      </c>
      <c r="DO90" s="17">
        <f t="shared" si="45"/>
        <v>107.97320415253741</v>
      </c>
      <c r="DP90" s="17">
        <f t="shared" si="45"/>
        <v>104.79749428094665</v>
      </c>
      <c r="DQ90" s="17">
        <f t="shared" si="45"/>
        <v>101.62178884350941</v>
      </c>
      <c r="DR90" s="17">
        <f t="shared" si="45"/>
        <v>98.446087966533639</v>
      </c>
      <c r="DS90" s="17">
        <f t="shared" si="45"/>
        <v>95.270391726361993</v>
      </c>
      <c r="DT90" s="17">
        <f t="shared" si="51"/>
        <v>92.09470014853521</v>
      </c>
      <c r="DU90" s="17">
        <f t="shared" si="49"/>
        <v>88.919013207512521</v>
      </c>
      <c r="DV90" s="17">
        <f t="shared" si="49"/>
        <v>85.743330826951265</v>
      </c>
      <c r="DW90" s="17">
        <f t="shared" si="49"/>
        <v>82.567652880543562</v>
      </c>
      <c r="DX90" s="17">
        <f t="shared" si="49"/>
        <v>79.391979193399848</v>
      </c>
      <c r="DY90" s="17">
        <f t="shared" si="49"/>
        <v>76.216309543965266</v>
      </c>
      <c r="DZ90" s="17">
        <f t="shared" si="49"/>
        <v>73.04064366644694</v>
      </c>
      <c r="EA90" s="17">
        <f t="shared" si="49"/>
        <v>69.864981253726086</v>
      </c>
      <c r="EB90" s="17">
        <f t="shared" si="49"/>
        <v>66.689321960722893</v>
      </c>
      <c r="EC90" s="17">
        <f t="shared" si="49"/>
        <v>63.513665408177268</v>
      </c>
      <c r="ED90" s="17">
        <f t="shared" si="49"/>
        <v>60.338011186804117</v>
      </c>
      <c r="EE90" s="17">
        <f t="shared" si="49"/>
        <v>57.162358861777456</v>
      </c>
      <c r="EF90" s="17">
        <f t="shared" si="49"/>
        <v>53.986707977494603</v>
      </c>
      <c r="EG90" s="17">
        <f t="shared" si="49"/>
        <v>50.81105806256776</v>
      </c>
      <c r="EH90" s="17">
        <f t="shared" si="49"/>
        <v>47.635408634988686</v>
      </c>
    </row>
    <row r="91" spans="5:138" ht="15.6" x14ac:dyDescent="0.3">
      <c r="E91" s="25"/>
      <c r="F91" s="15">
        <v>4.3333333333333335E-2</v>
      </c>
      <c r="G91" s="17">
        <f t="shared" si="40"/>
        <v>300</v>
      </c>
      <c r="H91" s="17">
        <f t="shared" si="46"/>
        <v>293.33323995443413</v>
      </c>
      <c r="I91" s="17">
        <f t="shared" si="46"/>
        <v>286.66648093194704</v>
      </c>
      <c r="J91" s="17">
        <f t="shared" si="46"/>
        <v>279.9997239444084</v>
      </c>
      <c r="K91" s="17">
        <f t="shared" si="46"/>
        <v>273.33296998139258</v>
      </c>
      <c r="L91" s="17">
        <f t="shared" si="52"/>
        <v>266.6662199993367</v>
      </c>
      <c r="M91" s="17">
        <f t="shared" si="52"/>
        <v>259.99947491106161</v>
      </c>
      <c r="N91" s="17">
        <f t="shared" si="52"/>
        <v>253.33273557577087</v>
      </c>
      <c r="O91" s="17">
        <f t="shared" si="52"/>
        <v>246.66600278963705</v>
      </c>
      <c r="P91" s="17">
        <f t="shared" si="52"/>
        <v>239.99927727707882</v>
      </c>
      <c r="Q91" s="17">
        <f t="shared" si="52"/>
        <v>233.33255968282418</v>
      </c>
      <c r="R91" s="17">
        <f t="shared" si="52"/>
        <v>226.66585056484644</v>
      </c>
      <c r="S91" s="17">
        <f t="shared" si="52"/>
        <v>219.999150388251</v>
      </c>
      <c r="T91" s="17">
        <f t="shared" si="52"/>
        <v>213.33245952017967</v>
      </c>
      <c r="U91" s="17">
        <f t="shared" si="52"/>
        <v>206.66577822578813</v>
      </c>
      <c r="V91" s="17">
        <f t="shared" si="52"/>
        <v>199.9991066653408</v>
      </c>
      <c r="W91" s="17">
        <f t="shared" si="52"/>
        <v>193.33244489245493</v>
      </c>
      <c r="X91" s="17">
        <f t="shared" si="52"/>
        <v>186.66579285351321</v>
      </c>
      <c r="Y91" s="17">
        <f t="shared" si="52"/>
        <v>179.99915038825117</v>
      </c>
      <c r="Z91" s="17">
        <f t="shared" si="52"/>
        <v>173.33251723151335</v>
      </c>
      <c r="AA91" s="17">
        <f t="shared" si="52"/>
        <v>166.66589301615778</v>
      </c>
      <c r="AB91" s="17">
        <f t="shared" si="52"/>
        <v>159.99927727707916</v>
      </c>
      <c r="AC91" s="17">
        <f t="shared" si="52"/>
        <v>153.33266945630407</v>
      </c>
      <c r="AD91" s="17">
        <f t="shared" si="52"/>
        <v>146.66606890910464</v>
      </c>
      <c r="AE91" s="17">
        <f t="shared" si="52"/>
        <v>139.99947491106209</v>
      </c>
      <c r="AF91" s="17">
        <f t="shared" si="52"/>
        <v>133.33288666600384</v>
      </c>
      <c r="AG91" s="17">
        <f t="shared" si="52"/>
        <v>126.66630331472635</v>
      </c>
      <c r="AH91" s="17">
        <f t="shared" si="52"/>
        <v>119.99972394440871</v>
      </c>
      <c r="AI91" s="17">
        <f t="shared" si="52"/>
        <v>113.33314759861392</v>
      </c>
      <c r="AJ91" s="17">
        <f t="shared" si="52"/>
        <v>106.66657328776756</v>
      </c>
      <c r="AK91" s="17">
        <f t="shared" si="42"/>
        <v>100</v>
      </c>
      <c r="AL91" s="25"/>
      <c r="AM91" s="15">
        <v>4.3333333333333335E-2</v>
      </c>
      <c r="AN91" s="17">
        <f t="shared" si="43"/>
        <v>-538200000</v>
      </c>
      <c r="AO91" s="17">
        <f t="shared" si="43"/>
        <v>-526239832.47825485</v>
      </c>
      <c r="AP91" s="17">
        <f t="shared" si="43"/>
        <v>-514279666.79191297</v>
      </c>
      <c r="AQ91" s="17">
        <f t="shared" si="43"/>
        <v>-502319504.75626868</v>
      </c>
      <c r="AR91" s="17">
        <f t="shared" si="43"/>
        <v>-490359348.14661831</v>
      </c>
      <c r="AS91" s="17">
        <f t="shared" si="43"/>
        <v>-478399198.67881006</v>
      </c>
      <c r="AT91" s="17">
        <f t="shared" si="43"/>
        <v>-466439057.99044454</v>
      </c>
      <c r="AU91" s="17">
        <f t="shared" si="43"/>
        <v>-454478927.62293291</v>
      </c>
      <c r="AV91" s="17">
        <f t="shared" si="43"/>
        <v>-442518809.00460875</v>
      </c>
      <c r="AW91" s="17">
        <f t="shared" si="43"/>
        <v>-430558703.4350794</v>
      </c>
      <c r="AX91" s="17">
        <f t="shared" si="43"/>
        <v>-418598612.07098657</v>
      </c>
      <c r="AY91" s="17">
        <f t="shared" si="43"/>
        <v>-406638535.91333449</v>
      </c>
      <c r="AZ91" s="17">
        <f t="shared" si="43"/>
        <v>-394678475.79652226</v>
      </c>
      <c r="BA91" s="17">
        <f t="shared" si="43"/>
        <v>-382718432.37920231</v>
      </c>
      <c r="BB91" s="17">
        <f t="shared" si="43"/>
        <v>-370758406.13706392</v>
      </c>
      <c r="BC91" s="17">
        <f t="shared" si="43"/>
        <v>-358798397.35762137</v>
      </c>
      <c r="BD91" s="17">
        <f t="shared" si="47"/>
        <v>-346838406.1370641</v>
      </c>
      <c r="BE91" s="17">
        <f t="shared" si="47"/>
        <v>-334878432.37920266</v>
      </c>
      <c r="BF91" s="17">
        <f t="shared" si="47"/>
        <v>-322918475.79652262</v>
      </c>
      <c r="BG91" s="17">
        <f t="shared" si="47"/>
        <v>-310958535.91333497</v>
      </c>
      <c r="BH91" s="17">
        <f t="shared" si="47"/>
        <v>-298998612.07098705</v>
      </c>
      <c r="BI91" s="17">
        <f t="shared" si="47"/>
        <v>-287038703.43507999</v>
      </c>
      <c r="BJ91" s="17">
        <f t="shared" si="47"/>
        <v>-275078809.00460953</v>
      </c>
      <c r="BK91" s="17">
        <f t="shared" si="47"/>
        <v>-263118927.62293372</v>
      </c>
      <c r="BL91" s="17">
        <f t="shared" si="47"/>
        <v>-251159057.99044541</v>
      </c>
      <c r="BM91" s="17">
        <f t="shared" si="47"/>
        <v>-239199198.67881089</v>
      </c>
      <c r="BN91" s="17">
        <f t="shared" si="47"/>
        <v>-227239348.14661908</v>
      </c>
      <c r="BO91" s="17">
        <f t="shared" si="47"/>
        <v>-215279504.75626925</v>
      </c>
      <c r="BP91" s="17">
        <f t="shared" si="47"/>
        <v>-203319666.79191336</v>
      </c>
      <c r="BQ91" s="17">
        <f t="shared" si="47"/>
        <v>-191359832.478255</v>
      </c>
      <c r="BR91" s="17">
        <f t="shared" si="47"/>
        <v>-179400000</v>
      </c>
      <c r="BS91" s="7"/>
      <c r="BT91" s="25"/>
      <c r="BU91" s="15">
        <v>4.3333333333333335E-2</v>
      </c>
      <c r="BV91" s="17">
        <f t="shared" si="44"/>
        <v>0.52364593974818163</v>
      </c>
      <c r="BW91" s="17">
        <f t="shared" si="44"/>
        <v>0.52364593974818163</v>
      </c>
      <c r="BX91" s="17">
        <f t="shared" si="44"/>
        <v>0.52364593974818163</v>
      </c>
      <c r="BY91" s="17">
        <f t="shared" si="44"/>
        <v>0.52364593974818163</v>
      </c>
      <c r="BZ91" s="17">
        <f t="shared" si="44"/>
        <v>0.52364593974818163</v>
      </c>
      <c r="CA91" s="17">
        <f t="shared" si="44"/>
        <v>0.52364593974818163</v>
      </c>
      <c r="CB91" s="17">
        <f t="shared" si="44"/>
        <v>0.52364593974818163</v>
      </c>
      <c r="CC91" s="17">
        <f t="shared" si="44"/>
        <v>0.52364593974818163</v>
      </c>
      <c r="CD91" s="17">
        <f t="shared" si="44"/>
        <v>0.52364593974818163</v>
      </c>
      <c r="CE91" s="17">
        <f t="shared" si="44"/>
        <v>0.52364593974818163</v>
      </c>
      <c r="CF91" s="17">
        <f t="shared" si="44"/>
        <v>0.52364593974818163</v>
      </c>
      <c r="CG91" s="17">
        <f t="shared" si="44"/>
        <v>0.52364593974818163</v>
      </c>
      <c r="CH91" s="17">
        <f t="shared" si="44"/>
        <v>0.52364593974818163</v>
      </c>
      <c r="CI91" s="17">
        <f t="shared" si="44"/>
        <v>0.52364593974818163</v>
      </c>
      <c r="CJ91" s="17">
        <f t="shared" si="44"/>
        <v>0.52364593974818163</v>
      </c>
      <c r="CK91" s="17">
        <f t="shared" si="44"/>
        <v>0.52364593974818163</v>
      </c>
      <c r="CL91" s="17">
        <f t="shared" si="50"/>
        <v>0.52364593974818163</v>
      </c>
      <c r="CM91" s="17">
        <f t="shared" si="50"/>
        <v>0.52364593974818163</v>
      </c>
      <c r="CN91" s="17">
        <f t="shared" si="50"/>
        <v>0.52364593974818163</v>
      </c>
      <c r="CO91" s="17">
        <f t="shared" si="50"/>
        <v>0.52364593974818163</v>
      </c>
      <c r="CP91" s="17">
        <f t="shared" si="50"/>
        <v>0.52364593974818163</v>
      </c>
      <c r="CQ91" s="17">
        <f t="shared" si="50"/>
        <v>0.52364593974818163</v>
      </c>
      <c r="CR91" s="17">
        <f t="shared" si="50"/>
        <v>0.52364593974818163</v>
      </c>
      <c r="CS91" s="17">
        <f t="shared" si="50"/>
        <v>0.52364593974818163</v>
      </c>
      <c r="CT91" s="17">
        <f t="shared" si="50"/>
        <v>0.52364593974818163</v>
      </c>
      <c r="CU91" s="17">
        <f t="shared" si="48"/>
        <v>0.52364593974818163</v>
      </c>
      <c r="CV91" s="17">
        <f t="shared" si="48"/>
        <v>0.52364593974818163</v>
      </c>
      <c r="CW91" s="17">
        <f t="shared" si="48"/>
        <v>0.52364593974818163</v>
      </c>
      <c r="CX91" s="17">
        <f t="shared" si="48"/>
        <v>0.52364593974818163</v>
      </c>
      <c r="CY91" s="17">
        <f t="shared" si="48"/>
        <v>0.52364593974818163</v>
      </c>
      <c r="CZ91" s="17">
        <f t="shared" si="48"/>
        <v>0.52364593974818163</v>
      </c>
      <c r="DA91" s="7"/>
      <c r="DB91" s="25"/>
      <c r="DC91" s="15">
        <v>4.3333333333333335E-2</v>
      </c>
      <c r="DD91" s="17">
        <f t="shared" si="45"/>
        <v>142.90621807554552</v>
      </c>
      <c r="DE91" s="17">
        <f t="shared" si="45"/>
        <v>139.73047985911563</v>
      </c>
      <c r="DF91" s="17">
        <f t="shared" si="45"/>
        <v>136.55474213003345</v>
      </c>
      <c r="DG91" s="17">
        <f t="shared" si="45"/>
        <v>133.37900537030723</v>
      </c>
      <c r="DH91" s="17">
        <f t="shared" si="45"/>
        <v>130.20327005132475</v>
      </c>
      <c r="DI91" s="17">
        <f t="shared" si="45"/>
        <v>127.02753662868869</v>
      </c>
      <c r="DJ91" s="17">
        <f t="shared" si="45"/>
        <v>123.85180553722499</v>
      </c>
      <c r="DK91" s="17">
        <f t="shared" si="45"/>
        <v>120.67607718621872</v>
      </c>
      <c r="DL91" s="17">
        <f t="shared" si="45"/>
        <v>117.50035195492994</v>
      </c>
      <c r="DM91" s="17">
        <f t="shared" si="45"/>
        <v>114.32463018843846</v>
      </c>
      <c r="DN91" s="17">
        <f t="shared" si="45"/>
        <v>111.14891219386304</v>
      </c>
      <c r="DO91" s="17">
        <f t="shared" si="45"/>
        <v>107.97319823699651</v>
      </c>
      <c r="DP91" s="17">
        <f t="shared" si="45"/>
        <v>104.79748853939375</v>
      </c>
      <c r="DQ91" s="17">
        <f t="shared" si="45"/>
        <v>101.62178327594427</v>
      </c>
      <c r="DR91" s="17">
        <f t="shared" si="45"/>
        <v>98.446082572956016</v>
      </c>
      <c r="DS91" s="17">
        <f t="shared" si="45"/>
        <v>95.270386506771601</v>
      </c>
      <c r="DT91" s="17">
        <f t="shared" si="51"/>
        <v>92.094695102931823</v>
      </c>
      <c r="DU91" s="17">
        <f t="shared" si="49"/>
        <v>88.919008335895882</v>
      </c>
      <c r="DV91" s="17">
        <f t="shared" si="49"/>
        <v>85.743326129321119</v>
      </c>
      <c r="DW91" s="17">
        <f t="shared" si="49"/>
        <v>82.567648356899653</v>
      </c>
      <c r="DX91" s="17">
        <f t="shared" si="49"/>
        <v>79.391974843741949</v>
      </c>
      <c r="DY91" s="17">
        <f t="shared" si="49"/>
        <v>76.216305368293149</v>
      </c>
      <c r="DZ91" s="17">
        <f t="shared" si="49"/>
        <v>73.04063966476042</v>
      </c>
      <c r="EA91" s="17">
        <f t="shared" si="49"/>
        <v>69.864977426024964</v>
      </c>
      <c r="EB91" s="17">
        <f t="shared" si="49"/>
        <v>66.689318307007014</v>
      </c>
      <c r="EC91" s="17">
        <f t="shared" si="49"/>
        <v>63.51366192844646</v>
      </c>
      <c r="ED91" s="17">
        <f t="shared" si="49"/>
        <v>60.33800788105826</v>
      </c>
      <c r="EE91" s="17">
        <f t="shared" si="49"/>
        <v>57.162355730016444</v>
      </c>
      <c r="EF91" s="17">
        <f t="shared" si="49"/>
        <v>53.986705019718357</v>
      </c>
      <c r="EG91" s="17">
        <f t="shared" si="49"/>
        <v>50.811055278776223</v>
      </c>
      <c r="EH91" s="17">
        <f t="shared" si="49"/>
        <v>47.635406025181837</v>
      </c>
    </row>
    <row r="92" spans="5:138" ht="15.6" x14ac:dyDescent="0.3">
      <c r="E92" s="25"/>
      <c r="F92" s="15">
        <v>0.04</v>
      </c>
      <c r="G92" s="17">
        <f t="shared" si="40"/>
        <v>300</v>
      </c>
      <c r="H92" s="17">
        <f t="shared" ref="H92:P104" si="53">BW92*H91+DE92</f>
        <v>293.33323995443413</v>
      </c>
      <c r="I92" s="17">
        <f t="shared" si="53"/>
        <v>286.66648093194704</v>
      </c>
      <c r="J92" s="17">
        <f t="shared" si="53"/>
        <v>279.9997239444084</v>
      </c>
      <c r="K92" s="17">
        <f t="shared" si="53"/>
        <v>273.33296998139258</v>
      </c>
      <c r="L92" s="17">
        <f t="shared" si="52"/>
        <v>266.6662199993367</v>
      </c>
      <c r="M92" s="17">
        <f t="shared" si="52"/>
        <v>259.99947491106161</v>
      </c>
      <c r="N92" s="17">
        <f t="shared" si="52"/>
        <v>253.33273557577084</v>
      </c>
      <c r="O92" s="17">
        <f t="shared" si="52"/>
        <v>246.66600278963705</v>
      </c>
      <c r="P92" s="17">
        <f t="shared" si="52"/>
        <v>239.99927727707882</v>
      </c>
      <c r="Q92" s="17">
        <f t="shared" si="52"/>
        <v>233.33255968282418</v>
      </c>
      <c r="R92" s="17">
        <f t="shared" si="52"/>
        <v>226.66585056484644</v>
      </c>
      <c r="S92" s="17">
        <f t="shared" si="52"/>
        <v>219.999150388251</v>
      </c>
      <c r="T92" s="17">
        <f t="shared" si="52"/>
        <v>213.33245952017967</v>
      </c>
      <c r="U92" s="17">
        <f t="shared" si="52"/>
        <v>206.66577822578813</v>
      </c>
      <c r="V92" s="17">
        <f t="shared" si="52"/>
        <v>199.99910666534078</v>
      </c>
      <c r="W92" s="17">
        <f t="shared" si="52"/>
        <v>193.33244489245493</v>
      </c>
      <c r="X92" s="17">
        <f t="shared" si="52"/>
        <v>186.66579285351321</v>
      </c>
      <c r="Y92" s="17">
        <f t="shared" si="52"/>
        <v>179.99915038825117</v>
      </c>
      <c r="Z92" s="17">
        <f t="shared" si="52"/>
        <v>173.33251723151335</v>
      </c>
      <c r="AA92" s="17">
        <f t="shared" si="52"/>
        <v>166.66589301615778</v>
      </c>
      <c r="AB92" s="17">
        <f t="shared" si="52"/>
        <v>159.99927727707916</v>
      </c>
      <c r="AC92" s="17">
        <f t="shared" si="52"/>
        <v>153.33266945630407</v>
      </c>
      <c r="AD92" s="17">
        <f t="shared" si="52"/>
        <v>146.66606890910464</v>
      </c>
      <c r="AE92" s="17">
        <f t="shared" si="52"/>
        <v>139.99947491106209</v>
      </c>
      <c r="AF92" s="17">
        <f t="shared" si="52"/>
        <v>133.33288666600384</v>
      </c>
      <c r="AG92" s="17">
        <f t="shared" si="52"/>
        <v>126.66630331472635</v>
      </c>
      <c r="AH92" s="17">
        <f t="shared" si="52"/>
        <v>119.99972394440871</v>
      </c>
      <c r="AI92" s="17">
        <f t="shared" si="52"/>
        <v>113.33314759861392</v>
      </c>
      <c r="AJ92" s="17">
        <f t="shared" si="52"/>
        <v>106.66657328776756</v>
      </c>
      <c r="AK92" s="17">
        <f t="shared" si="42"/>
        <v>100</v>
      </c>
      <c r="AL92" s="25"/>
      <c r="AM92" s="15">
        <v>0.04</v>
      </c>
      <c r="AN92" s="17">
        <f t="shared" si="43"/>
        <v>-538200000</v>
      </c>
      <c r="AO92" s="17">
        <f t="shared" si="43"/>
        <v>-526239832.47825485</v>
      </c>
      <c r="AP92" s="17">
        <f t="shared" si="43"/>
        <v>-514279666.79191297</v>
      </c>
      <c r="AQ92" s="17">
        <f t="shared" si="43"/>
        <v>-502319504.75626868</v>
      </c>
      <c r="AR92" s="17">
        <f t="shared" si="43"/>
        <v>-490359348.14661831</v>
      </c>
      <c r="AS92" s="17">
        <f t="shared" si="43"/>
        <v>-478399198.67881006</v>
      </c>
      <c r="AT92" s="17">
        <f t="shared" si="43"/>
        <v>-466439057.99044454</v>
      </c>
      <c r="AU92" s="17">
        <f t="shared" si="43"/>
        <v>-454478927.62293291</v>
      </c>
      <c r="AV92" s="17">
        <f t="shared" si="43"/>
        <v>-442518809.00460875</v>
      </c>
      <c r="AW92" s="17">
        <f t="shared" si="43"/>
        <v>-430558703.4350794</v>
      </c>
      <c r="AX92" s="17">
        <f t="shared" si="43"/>
        <v>-418598612.07098657</v>
      </c>
      <c r="AY92" s="17">
        <f t="shared" si="43"/>
        <v>-406638535.91333449</v>
      </c>
      <c r="AZ92" s="17">
        <f t="shared" si="43"/>
        <v>-394678475.79652226</v>
      </c>
      <c r="BA92" s="17">
        <f t="shared" si="43"/>
        <v>-382718432.37920231</v>
      </c>
      <c r="BB92" s="17">
        <f t="shared" si="43"/>
        <v>-370758406.13706392</v>
      </c>
      <c r="BC92" s="17">
        <f t="shared" si="43"/>
        <v>-358798397.35762137</v>
      </c>
      <c r="BD92" s="17">
        <f t="shared" si="47"/>
        <v>-346838406.1370641</v>
      </c>
      <c r="BE92" s="17">
        <f t="shared" si="47"/>
        <v>-334878432.37920266</v>
      </c>
      <c r="BF92" s="17">
        <f t="shared" si="47"/>
        <v>-322918475.79652262</v>
      </c>
      <c r="BG92" s="17">
        <f t="shared" si="47"/>
        <v>-310958535.91333497</v>
      </c>
      <c r="BH92" s="17">
        <f t="shared" si="47"/>
        <v>-298998612.07098705</v>
      </c>
      <c r="BI92" s="17">
        <f t="shared" si="47"/>
        <v>-287038703.43507999</v>
      </c>
      <c r="BJ92" s="17">
        <f t="shared" si="47"/>
        <v>-275078809.00460953</v>
      </c>
      <c r="BK92" s="17">
        <f t="shared" si="47"/>
        <v>-263118927.62293372</v>
      </c>
      <c r="BL92" s="17">
        <f t="shared" si="47"/>
        <v>-251159057.99044541</v>
      </c>
      <c r="BM92" s="17">
        <f t="shared" si="47"/>
        <v>-239199198.67881089</v>
      </c>
      <c r="BN92" s="17">
        <f t="shared" si="47"/>
        <v>-227239348.14661908</v>
      </c>
      <c r="BO92" s="17">
        <f t="shared" si="47"/>
        <v>-215279504.75626925</v>
      </c>
      <c r="BP92" s="17">
        <f t="shared" si="47"/>
        <v>-203319666.79191336</v>
      </c>
      <c r="BQ92" s="17">
        <f t="shared" si="47"/>
        <v>-191359832.478255</v>
      </c>
      <c r="BR92" s="17">
        <f t="shared" si="47"/>
        <v>-179400000</v>
      </c>
      <c r="BS92" s="7"/>
      <c r="BT92" s="25"/>
      <c r="BU92" s="15">
        <v>0.04</v>
      </c>
      <c r="BV92" s="17">
        <f t="shared" si="44"/>
        <v>0.52364603492537798</v>
      </c>
      <c r="BW92" s="17">
        <f t="shared" si="44"/>
        <v>0.52364603492537798</v>
      </c>
      <c r="BX92" s="17">
        <f t="shared" si="44"/>
        <v>0.52364603492537798</v>
      </c>
      <c r="BY92" s="17">
        <f t="shared" si="44"/>
        <v>0.52364603492537798</v>
      </c>
      <c r="BZ92" s="17">
        <f t="shared" si="44"/>
        <v>0.52364603492537798</v>
      </c>
      <c r="CA92" s="17">
        <f t="shared" si="44"/>
        <v>0.52364603492537798</v>
      </c>
      <c r="CB92" s="17">
        <f t="shared" si="44"/>
        <v>0.52364603492537798</v>
      </c>
      <c r="CC92" s="17">
        <f t="shared" si="44"/>
        <v>0.52364603492537798</v>
      </c>
      <c r="CD92" s="17">
        <f t="shared" si="44"/>
        <v>0.52364603492537798</v>
      </c>
      <c r="CE92" s="17">
        <f t="shared" si="44"/>
        <v>0.52364603492537798</v>
      </c>
      <c r="CF92" s="17">
        <f t="shared" si="44"/>
        <v>0.52364603492537798</v>
      </c>
      <c r="CG92" s="17">
        <f t="shared" si="44"/>
        <v>0.52364603492537798</v>
      </c>
      <c r="CH92" s="17">
        <f t="shared" si="44"/>
        <v>0.52364603492537798</v>
      </c>
      <c r="CI92" s="17">
        <f t="shared" si="44"/>
        <v>0.52364603492537798</v>
      </c>
      <c r="CJ92" s="17">
        <f t="shared" si="44"/>
        <v>0.52364603492537798</v>
      </c>
      <c r="CK92" s="17">
        <f t="shared" si="44"/>
        <v>0.52364603492537798</v>
      </c>
      <c r="CL92" s="17">
        <f t="shared" si="50"/>
        <v>0.52364603492537798</v>
      </c>
      <c r="CM92" s="17">
        <f t="shared" si="50"/>
        <v>0.52364603492537798</v>
      </c>
      <c r="CN92" s="17">
        <f t="shared" si="50"/>
        <v>0.52364603492537798</v>
      </c>
      <c r="CO92" s="17">
        <f t="shared" si="50"/>
        <v>0.52364603492537798</v>
      </c>
      <c r="CP92" s="17">
        <f t="shared" si="50"/>
        <v>0.52364603492537798</v>
      </c>
      <c r="CQ92" s="17">
        <f t="shared" si="50"/>
        <v>0.52364603492537798</v>
      </c>
      <c r="CR92" s="17">
        <f t="shared" si="50"/>
        <v>0.52364603492537798</v>
      </c>
      <c r="CS92" s="17">
        <f t="shared" si="50"/>
        <v>0.52364603492537798</v>
      </c>
      <c r="CT92" s="17">
        <f t="shared" si="50"/>
        <v>0.52364603492537798</v>
      </c>
      <c r="CU92" s="17">
        <f t="shared" si="48"/>
        <v>0.52364603492537798</v>
      </c>
      <c r="CV92" s="17">
        <f t="shared" si="48"/>
        <v>0.52364603492537798</v>
      </c>
      <c r="CW92" s="17">
        <f t="shared" si="48"/>
        <v>0.52364603492537798</v>
      </c>
      <c r="CX92" s="17">
        <f t="shared" si="48"/>
        <v>0.52364603492537798</v>
      </c>
      <c r="CY92" s="17">
        <f t="shared" si="48"/>
        <v>0.52364603492537798</v>
      </c>
      <c r="CZ92" s="17">
        <f t="shared" si="48"/>
        <v>0.52364603492537798</v>
      </c>
      <c r="DA92" s="7"/>
      <c r="DB92" s="25"/>
      <c r="DC92" s="15">
        <v>0.04</v>
      </c>
      <c r="DD92" s="17">
        <f t="shared" si="45"/>
        <v>142.9061895223866</v>
      </c>
      <c r="DE92" s="17">
        <f t="shared" si="45"/>
        <v>139.73045194048024</v>
      </c>
      <c r="DF92" s="17">
        <f t="shared" si="45"/>
        <v>136.5547148459215</v>
      </c>
      <c r="DG92" s="17">
        <f t="shared" si="45"/>
        <v>133.37897872071852</v>
      </c>
      <c r="DH92" s="17">
        <f t="shared" si="45"/>
        <v>130.20324403625901</v>
      </c>
      <c r="DI92" s="17">
        <f t="shared" si="45"/>
        <v>127.0275112481455</v>
      </c>
      <c r="DJ92" s="17">
        <f t="shared" si="45"/>
        <v>123.85178079120392</v>
      </c>
      <c r="DK92" s="17">
        <f t="shared" si="45"/>
        <v>120.67605307471919</v>
      </c>
      <c r="DL92" s="17">
        <f t="shared" si="45"/>
        <v>117.50032847795136</v>
      </c>
      <c r="DM92" s="17">
        <f t="shared" si="45"/>
        <v>114.32460734598013</v>
      </c>
      <c r="DN92" s="17">
        <f t="shared" si="45"/>
        <v>111.14888998592419</v>
      </c>
      <c r="DO92" s="17">
        <f t="shared" si="45"/>
        <v>107.97317666357634</v>
      </c>
      <c r="DP92" s="17">
        <f t="shared" si="45"/>
        <v>104.79746760049142</v>
      </c>
      <c r="DQ92" s="17">
        <f t="shared" si="45"/>
        <v>101.62176297155889</v>
      </c>
      <c r="DR92" s="17">
        <f t="shared" si="45"/>
        <v>98.446062903086656</v>
      </c>
      <c r="DS92" s="17">
        <f t="shared" si="45"/>
        <v>95.270367471417345</v>
      </c>
      <c r="DT92" s="17">
        <f t="shared" si="51"/>
        <v>92.09467670209176</v>
      </c>
      <c r="DU92" s="17">
        <f t="shared" si="49"/>
        <v>88.918990569569047</v>
      </c>
      <c r="DV92" s="17">
        <f t="shared" si="49"/>
        <v>85.743308997506631</v>
      </c>
      <c r="DW92" s="17">
        <f t="shared" si="49"/>
        <v>82.567631859596631</v>
      </c>
      <c r="DX92" s="17">
        <f t="shared" si="49"/>
        <v>79.391958980949525</v>
      </c>
      <c r="DY92" s="17">
        <f t="shared" si="49"/>
        <v>76.216290140010528</v>
      </c>
      <c r="DZ92" s="17">
        <f t="shared" si="49"/>
        <v>73.040625070986835</v>
      </c>
      <c r="EA92" s="17">
        <f t="shared" si="49"/>
        <v>69.864963466759733</v>
      </c>
      <c r="EB92" s="17">
        <f t="shared" si="49"/>
        <v>66.689304982249496</v>
      </c>
      <c r="EC92" s="17">
        <f t="shared" si="49"/>
        <v>63.513649238196123</v>
      </c>
      <c r="ED92" s="17">
        <f t="shared" si="49"/>
        <v>60.337995825314636</v>
      </c>
      <c r="EE92" s="17">
        <f t="shared" si="49"/>
        <v>57.162344308779147</v>
      </c>
      <c r="EF92" s="17">
        <f t="shared" si="49"/>
        <v>53.986694232987119</v>
      </c>
      <c r="EG92" s="17">
        <f t="shared" si="49"/>
        <v>50.81104512655083</v>
      </c>
      <c r="EH92" s="17">
        <f t="shared" si="49"/>
        <v>47.63539650746219</v>
      </c>
    </row>
    <row r="93" spans="5:138" ht="15.6" x14ac:dyDescent="0.3">
      <c r="E93" s="25"/>
      <c r="F93" s="15">
        <v>3.6666666666666667E-2</v>
      </c>
      <c r="G93" s="17">
        <f t="shared" si="40"/>
        <v>300</v>
      </c>
      <c r="H93" s="17">
        <f t="shared" si="53"/>
        <v>293.33323995443413</v>
      </c>
      <c r="I93" s="17">
        <f t="shared" si="53"/>
        <v>286.66648093194704</v>
      </c>
      <c r="J93" s="17">
        <f t="shared" si="53"/>
        <v>279.9997239444084</v>
      </c>
      <c r="K93" s="17">
        <f t="shared" si="53"/>
        <v>273.33296998139258</v>
      </c>
      <c r="L93" s="17">
        <f t="shared" si="52"/>
        <v>266.6662199993367</v>
      </c>
      <c r="M93" s="17">
        <f t="shared" si="52"/>
        <v>259.99947491106161</v>
      </c>
      <c r="N93" s="17">
        <f t="shared" si="52"/>
        <v>253.33273557577087</v>
      </c>
      <c r="O93" s="17">
        <f t="shared" si="52"/>
        <v>246.66600278963702</v>
      </c>
      <c r="P93" s="17">
        <f t="shared" si="52"/>
        <v>239.99927727707882</v>
      </c>
      <c r="Q93" s="17">
        <f t="shared" si="52"/>
        <v>233.33255968282418</v>
      </c>
      <c r="R93" s="17">
        <f t="shared" si="52"/>
        <v>226.66585056484644</v>
      </c>
      <c r="S93" s="17">
        <f t="shared" si="52"/>
        <v>219.999150388251</v>
      </c>
      <c r="T93" s="17">
        <f t="shared" si="52"/>
        <v>213.33245952017967</v>
      </c>
      <c r="U93" s="17">
        <f t="shared" si="52"/>
        <v>206.66577822578813</v>
      </c>
      <c r="V93" s="17">
        <f t="shared" si="52"/>
        <v>199.99910666534078</v>
      </c>
      <c r="W93" s="17">
        <f t="shared" si="52"/>
        <v>193.33244489245493</v>
      </c>
      <c r="X93" s="17">
        <f t="shared" si="52"/>
        <v>186.66579285351321</v>
      </c>
      <c r="Y93" s="17">
        <f t="shared" si="52"/>
        <v>179.99915038825117</v>
      </c>
      <c r="Z93" s="17">
        <f t="shared" si="52"/>
        <v>173.33251723151335</v>
      </c>
      <c r="AA93" s="17">
        <f t="shared" si="52"/>
        <v>166.66589301615778</v>
      </c>
      <c r="AB93" s="17">
        <f t="shared" si="52"/>
        <v>159.99927727707916</v>
      </c>
      <c r="AC93" s="17">
        <f t="shared" si="52"/>
        <v>153.33266945630407</v>
      </c>
      <c r="AD93" s="17">
        <f t="shared" si="52"/>
        <v>146.66606890910464</v>
      </c>
      <c r="AE93" s="17">
        <f t="shared" si="52"/>
        <v>139.99947491106209</v>
      </c>
      <c r="AF93" s="17">
        <f t="shared" si="52"/>
        <v>133.33288666600384</v>
      </c>
      <c r="AG93" s="17">
        <f t="shared" si="52"/>
        <v>126.66630331472635</v>
      </c>
      <c r="AH93" s="17">
        <f t="shared" si="52"/>
        <v>119.99972394440871</v>
      </c>
      <c r="AI93" s="17">
        <f t="shared" si="52"/>
        <v>113.33314759861392</v>
      </c>
      <c r="AJ93" s="17">
        <f t="shared" si="52"/>
        <v>106.66657328776755</v>
      </c>
      <c r="AK93" s="17">
        <f t="shared" si="42"/>
        <v>100</v>
      </c>
      <c r="AL93" s="25"/>
      <c r="AM93" s="15">
        <v>3.6666666666666667E-2</v>
      </c>
      <c r="AN93" s="17">
        <f t="shared" si="43"/>
        <v>-538200000</v>
      </c>
      <c r="AO93" s="17">
        <f t="shared" si="43"/>
        <v>-526239832.47825485</v>
      </c>
      <c r="AP93" s="17">
        <f t="shared" si="43"/>
        <v>-514279666.79191297</v>
      </c>
      <c r="AQ93" s="17">
        <f t="shared" si="43"/>
        <v>-502319504.75626868</v>
      </c>
      <c r="AR93" s="17">
        <f t="shared" si="43"/>
        <v>-490359348.14661831</v>
      </c>
      <c r="AS93" s="17">
        <f t="shared" si="43"/>
        <v>-478399198.67881006</v>
      </c>
      <c r="AT93" s="17">
        <f t="shared" si="43"/>
        <v>-466439057.99044454</v>
      </c>
      <c r="AU93" s="17">
        <f t="shared" si="43"/>
        <v>-454478927.62293291</v>
      </c>
      <c r="AV93" s="17">
        <f t="shared" si="43"/>
        <v>-442518809.00460875</v>
      </c>
      <c r="AW93" s="17">
        <f t="shared" si="43"/>
        <v>-430558703.4350794</v>
      </c>
      <c r="AX93" s="17">
        <f t="shared" si="43"/>
        <v>-418598612.07098657</v>
      </c>
      <c r="AY93" s="17">
        <f t="shared" si="43"/>
        <v>-406638535.91333449</v>
      </c>
      <c r="AZ93" s="17">
        <f t="shared" si="43"/>
        <v>-394678475.79652226</v>
      </c>
      <c r="BA93" s="17">
        <f t="shared" si="43"/>
        <v>-382718432.37920231</v>
      </c>
      <c r="BB93" s="17">
        <f t="shared" si="43"/>
        <v>-370758406.13706392</v>
      </c>
      <c r="BC93" s="17">
        <f t="shared" si="43"/>
        <v>-358798397.35762137</v>
      </c>
      <c r="BD93" s="17">
        <f t="shared" si="47"/>
        <v>-346838406.1370641</v>
      </c>
      <c r="BE93" s="17">
        <f t="shared" si="47"/>
        <v>-334878432.37920266</v>
      </c>
      <c r="BF93" s="17">
        <f t="shared" si="47"/>
        <v>-322918475.79652262</v>
      </c>
      <c r="BG93" s="17">
        <f t="shared" si="47"/>
        <v>-310958535.91333497</v>
      </c>
      <c r="BH93" s="17">
        <f t="shared" si="47"/>
        <v>-298998612.07098705</v>
      </c>
      <c r="BI93" s="17">
        <f t="shared" si="47"/>
        <v>-287038703.43507999</v>
      </c>
      <c r="BJ93" s="17">
        <f t="shared" si="47"/>
        <v>-275078809.00460953</v>
      </c>
      <c r="BK93" s="17">
        <f t="shared" si="47"/>
        <v>-263118927.62293372</v>
      </c>
      <c r="BL93" s="17">
        <f t="shared" si="47"/>
        <v>-251159057.99044541</v>
      </c>
      <c r="BM93" s="17">
        <f t="shared" si="47"/>
        <v>-239199198.67881089</v>
      </c>
      <c r="BN93" s="17">
        <f t="shared" si="47"/>
        <v>-227239348.14661908</v>
      </c>
      <c r="BO93" s="17">
        <f t="shared" si="47"/>
        <v>-215279504.75626925</v>
      </c>
      <c r="BP93" s="17">
        <f t="shared" si="47"/>
        <v>-203319666.79191336</v>
      </c>
      <c r="BQ93" s="17">
        <f t="shared" si="47"/>
        <v>-191359832.478255</v>
      </c>
      <c r="BR93" s="17">
        <f t="shared" si="47"/>
        <v>-179400000</v>
      </c>
      <c r="BS93" s="7"/>
      <c r="BT93" s="25"/>
      <c r="BU93" s="15">
        <v>3.6666666666666667E-2</v>
      </c>
      <c r="BV93" s="17">
        <f t="shared" si="44"/>
        <v>0.5236463820275632</v>
      </c>
      <c r="BW93" s="17">
        <f t="shared" si="44"/>
        <v>0.5236463820275632</v>
      </c>
      <c r="BX93" s="17">
        <f t="shared" si="44"/>
        <v>0.5236463820275632</v>
      </c>
      <c r="BY93" s="17">
        <f t="shared" si="44"/>
        <v>0.5236463820275632</v>
      </c>
      <c r="BZ93" s="17">
        <f t="shared" si="44"/>
        <v>0.5236463820275632</v>
      </c>
      <c r="CA93" s="17">
        <f t="shared" si="44"/>
        <v>0.5236463820275632</v>
      </c>
      <c r="CB93" s="17">
        <f t="shared" si="44"/>
        <v>0.5236463820275632</v>
      </c>
      <c r="CC93" s="17">
        <f t="shared" si="44"/>
        <v>0.5236463820275632</v>
      </c>
      <c r="CD93" s="17">
        <f t="shared" si="44"/>
        <v>0.5236463820275632</v>
      </c>
      <c r="CE93" s="17">
        <f t="shared" si="44"/>
        <v>0.5236463820275632</v>
      </c>
      <c r="CF93" s="17">
        <f t="shared" si="44"/>
        <v>0.5236463820275632</v>
      </c>
      <c r="CG93" s="17">
        <f t="shared" si="44"/>
        <v>0.5236463820275632</v>
      </c>
      <c r="CH93" s="17">
        <f t="shared" si="44"/>
        <v>0.5236463820275632</v>
      </c>
      <c r="CI93" s="17">
        <f t="shared" si="44"/>
        <v>0.5236463820275632</v>
      </c>
      <c r="CJ93" s="17">
        <f t="shared" si="44"/>
        <v>0.5236463820275632</v>
      </c>
      <c r="CK93" s="17">
        <f t="shared" si="44"/>
        <v>0.5236463820275632</v>
      </c>
      <c r="CL93" s="17">
        <f t="shared" si="50"/>
        <v>0.5236463820275632</v>
      </c>
      <c r="CM93" s="17">
        <f t="shared" si="50"/>
        <v>0.5236463820275632</v>
      </c>
      <c r="CN93" s="17">
        <f t="shared" si="50"/>
        <v>0.5236463820275632</v>
      </c>
      <c r="CO93" s="17">
        <f t="shared" si="50"/>
        <v>0.5236463820275632</v>
      </c>
      <c r="CP93" s="17">
        <f t="shared" si="50"/>
        <v>0.5236463820275632</v>
      </c>
      <c r="CQ93" s="17">
        <f t="shared" si="50"/>
        <v>0.5236463820275632</v>
      </c>
      <c r="CR93" s="17">
        <f t="shared" si="50"/>
        <v>0.5236463820275632</v>
      </c>
      <c r="CS93" s="17">
        <f t="shared" si="50"/>
        <v>0.5236463820275632</v>
      </c>
      <c r="CT93" s="17">
        <f t="shared" si="50"/>
        <v>0.5236463820275632</v>
      </c>
      <c r="CU93" s="17">
        <f t="shared" si="48"/>
        <v>0.5236463820275632</v>
      </c>
      <c r="CV93" s="17">
        <f t="shared" si="48"/>
        <v>0.5236463820275632</v>
      </c>
      <c r="CW93" s="17">
        <f t="shared" si="48"/>
        <v>0.5236463820275632</v>
      </c>
      <c r="CX93" s="17">
        <f t="shared" si="48"/>
        <v>0.5236463820275632</v>
      </c>
      <c r="CY93" s="17">
        <f t="shared" si="48"/>
        <v>0.5236463820275632</v>
      </c>
      <c r="CZ93" s="17">
        <f t="shared" si="48"/>
        <v>0.5236463820275632</v>
      </c>
      <c r="DA93" s="7"/>
      <c r="DB93" s="25"/>
      <c r="DC93" s="15">
        <v>3.6666666666666667E-2</v>
      </c>
      <c r="DD93" s="17">
        <f t="shared" si="45"/>
        <v>142.90608539173104</v>
      </c>
      <c r="DE93" s="17">
        <f t="shared" si="45"/>
        <v>139.73035012387166</v>
      </c>
      <c r="DF93" s="17">
        <f t="shared" si="45"/>
        <v>136.55461534335956</v>
      </c>
      <c r="DG93" s="17">
        <f t="shared" si="45"/>
        <v>133.37888153220248</v>
      </c>
      <c r="DH93" s="17">
        <f t="shared" si="45"/>
        <v>130.20314916178785</v>
      </c>
      <c r="DI93" s="17">
        <f t="shared" si="45"/>
        <v>127.02741868771783</v>
      </c>
      <c r="DJ93" s="17">
        <f t="shared" si="45"/>
        <v>123.85169054481803</v>
      </c>
      <c r="DK93" s="17">
        <f t="shared" si="45"/>
        <v>120.6759651423731</v>
      </c>
      <c r="DL93" s="17">
        <f t="shared" si="45"/>
        <v>117.50024285964278</v>
      </c>
      <c r="DM93" s="17">
        <f t="shared" si="45"/>
        <v>114.32452404170654</v>
      </c>
      <c r="DN93" s="17">
        <f t="shared" si="45"/>
        <v>111.14880899568286</v>
      </c>
      <c r="DO93" s="17">
        <f t="shared" si="45"/>
        <v>107.97309798736431</v>
      </c>
      <c r="DP93" s="17">
        <f t="shared" si="45"/>
        <v>104.79739123830559</v>
      </c>
      <c r="DQ93" s="17">
        <f t="shared" si="45"/>
        <v>101.62168892339602</v>
      </c>
      <c r="DR93" s="17">
        <f t="shared" si="45"/>
        <v>98.445991168943436</v>
      </c>
      <c r="DS93" s="17">
        <f t="shared" si="45"/>
        <v>95.270298051290396</v>
      </c>
      <c r="DT93" s="17">
        <f t="shared" si="51"/>
        <v>92.094609595977659</v>
      </c>
      <c r="DU93" s="17">
        <f t="shared" si="49"/>
        <v>88.918925777464437</v>
      </c>
      <c r="DV93" s="17">
        <f t="shared" si="49"/>
        <v>85.743246519408217</v>
      </c>
      <c r="DW93" s="17">
        <f t="shared" si="49"/>
        <v>82.567571695501144</v>
      </c>
      <c r="DX93" s="17">
        <f t="shared" si="49"/>
        <v>79.391901130853867</v>
      </c>
      <c r="DY93" s="17">
        <f t="shared" si="49"/>
        <v>76.216234603911758</v>
      </c>
      <c r="DZ93" s="17">
        <f t="shared" si="49"/>
        <v>73.040571848882209</v>
      </c>
      <c r="EA93" s="17">
        <f t="shared" si="49"/>
        <v>69.864912558646722</v>
      </c>
      <c r="EB93" s="17">
        <f t="shared" si="49"/>
        <v>66.689256388125827</v>
      </c>
      <c r="EC93" s="17">
        <f t="shared" si="49"/>
        <v>63.513602958059806</v>
      </c>
      <c r="ED93" s="17">
        <f t="shared" si="49"/>
        <v>60.337951859163958</v>
      </c>
      <c r="EE93" s="17">
        <f t="shared" si="49"/>
        <v>57.162302656612745</v>
      </c>
      <c r="EF93" s="17">
        <f t="shared" si="49"/>
        <v>53.986654894803927</v>
      </c>
      <c r="EG93" s="17">
        <f t="shared" si="49"/>
        <v>50.811008102350151</v>
      </c>
      <c r="EH93" s="17">
        <f t="shared" si="49"/>
        <v>47.635361797243668</v>
      </c>
    </row>
    <row r="94" spans="5:138" ht="15.6" x14ac:dyDescent="0.3">
      <c r="E94" s="25"/>
      <c r="F94" s="15">
        <v>3.3333333333333333E-2</v>
      </c>
      <c r="G94" s="17">
        <f t="shared" si="40"/>
        <v>300</v>
      </c>
      <c r="H94" s="17">
        <f t="shared" si="53"/>
        <v>293.33323995443419</v>
      </c>
      <c r="I94" s="17">
        <f t="shared" si="53"/>
        <v>286.66648093194709</v>
      </c>
      <c r="J94" s="17">
        <f t="shared" si="53"/>
        <v>279.9997239444084</v>
      </c>
      <c r="K94" s="17">
        <f t="shared" si="53"/>
        <v>273.33296998139269</v>
      </c>
      <c r="L94" s="17">
        <f t="shared" si="52"/>
        <v>266.66621999933676</v>
      </c>
      <c r="M94" s="17">
        <f t="shared" si="52"/>
        <v>259.99947491106167</v>
      </c>
      <c r="N94" s="17">
        <f t="shared" si="52"/>
        <v>253.33273557577087</v>
      </c>
      <c r="O94" s="17">
        <f t="shared" si="52"/>
        <v>246.66600278963705</v>
      </c>
      <c r="P94" s="17">
        <f t="shared" si="52"/>
        <v>239.99927727707887</v>
      </c>
      <c r="Q94" s="17">
        <f t="shared" ref="Q94:AJ104" si="54">CF94*Q93+DN94</f>
        <v>233.33255968282424</v>
      </c>
      <c r="R94" s="17">
        <f t="shared" si="54"/>
        <v>226.66585056484649</v>
      </c>
      <c r="S94" s="17">
        <f t="shared" si="54"/>
        <v>219.99915038825105</v>
      </c>
      <c r="T94" s="17">
        <f t="shared" si="54"/>
        <v>213.33245952017973</v>
      </c>
      <c r="U94" s="17">
        <f t="shared" si="54"/>
        <v>206.66577822578819</v>
      </c>
      <c r="V94" s="17">
        <f t="shared" si="54"/>
        <v>199.99910666534083</v>
      </c>
      <c r="W94" s="17">
        <f t="shared" si="54"/>
        <v>193.33244489245496</v>
      </c>
      <c r="X94" s="17">
        <f t="shared" si="54"/>
        <v>186.66579285351321</v>
      </c>
      <c r="Y94" s="17">
        <f t="shared" si="54"/>
        <v>179.99915038825122</v>
      </c>
      <c r="Z94" s="17">
        <f t="shared" si="54"/>
        <v>173.33251723151341</v>
      </c>
      <c r="AA94" s="17">
        <f t="shared" si="54"/>
        <v>166.66589301615784</v>
      </c>
      <c r="AB94" s="17">
        <f t="shared" si="54"/>
        <v>159.99927727707919</v>
      </c>
      <c r="AC94" s="17">
        <f t="shared" si="54"/>
        <v>153.3326694563041</v>
      </c>
      <c r="AD94" s="17">
        <f t="shared" si="54"/>
        <v>146.66606890910467</v>
      </c>
      <c r="AE94" s="17">
        <f t="shared" si="54"/>
        <v>139.99947491106212</v>
      </c>
      <c r="AF94" s="17">
        <f t="shared" si="54"/>
        <v>133.33288666600387</v>
      </c>
      <c r="AG94" s="17">
        <f t="shared" si="54"/>
        <v>126.66630331472635</v>
      </c>
      <c r="AH94" s="17">
        <f t="shared" si="54"/>
        <v>119.99972394440871</v>
      </c>
      <c r="AI94" s="17">
        <f t="shared" si="54"/>
        <v>113.33314759861393</v>
      </c>
      <c r="AJ94" s="17">
        <f t="shared" si="54"/>
        <v>106.66657328776756</v>
      </c>
      <c r="AK94" s="17">
        <f t="shared" si="42"/>
        <v>100</v>
      </c>
      <c r="AL94" s="25"/>
      <c r="AM94" s="15">
        <v>3.3333333333333333E-2</v>
      </c>
      <c r="AN94" s="17">
        <f t="shared" si="43"/>
        <v>-538200000</v>
      </c>
      <c r="AO94" s="17">
        <f t="shared" si="43"/>
        <v>-526239832.47825485</v>
      </c>
      <c r="AP94" s="17">
        <f t="shared" si="43"/>
        <v>-514279666.79191297</v>
      </c>
      <c r="AQ94" s="17">
        <f t="shared" si="43"/>
        <v>-502319504.75626868</v>
      </c>
      <c r="AR94" s="17">
        <f t="shared" si="43"/>
        <v>-490359348.14661831</v>
      </c>
      <c r="AS94" s="17">
        <f t="shared" si="43"/>
        <v>-478399198.67881006</v>
      </c>
      <c r="AT94" s="17">
        <f t="shared" si="43"/>
        <v>-466439057.99044454</v>
      </c>
      <c r="AU94" s="17">
        <f t="shared" si="43"/>
        <v>-454478927.62293291</v>
      </c>
      <c r="AV94" s="17">
        <f t="shared" si="43"/>
        <v>-442518809.00460881</v>
      </c>
      <c r="AW94" s="17">
        <f t="shared" si="43"/>
        <v>-430558703.43507951</v>
      </c>
      <c r="AX94" s="17">
        <f t="shared" si="43"/>
        <v>-418598612.07098669</v>
      </c>
      <c r="AY94" s="17">
        <f t="shared" si="43"/>
        <v>-406638535.91333461</v>
      </c>
      <c r="AZ94" s="17">
        <f t="shared" si="43"/>
        <v>-394678475.79652238</v>
      </c>
      <c r="BA94" s="17">
        <f t="shared" si="43"/>
        <v>-382718432.37920243</v>
      </c>
      <c r="BB94" s="17">
        <f t="shared" si="43"/>
        <v>-370758406.13706398</v>
      </c>
      <c r="BC94" s="17">
        <f t="shared" si="43"/>
        <v>-358798397.35762143</v>
      </c>
      <c r="BD94" s="17">
        <f t="shared" si="47"/>
        <v>-346838406.13706416</v>
      </c>
      <c r="BE94" s="17">
        <f t="shared" si="47"/>
        <v>-334878432.37920272</v>
      </c>
      <c r="BF94" s="17">
        <f t="shared" si="47"/>
        <v>-322918475.79652274</v>
      </c>
      <c r="BG94" s="17">
        <f t="shared" si="47"/>
        <v>-310958535.91333503</v>
      </c>
      <c r="BH94" s="17">
        <f t="shared" si="47"/>
        <v>-298998612.07098716</v>
      </c>
      <c r="BI94" s="17">
        <f t="shared" si="47"/>
        <v>-287038703.43507999</v>
      </c>
      <c r="BJ94" s="17">
        <f t="shared" si="47"/>
        <v>-275078809.00460953</v>
      </c>
      <c r="BK94" s="17">
        <f t="shared" si="47"/>
        <v>-263118927.62293372</v>
      </c>
      <c r="BL94" s="17">
        <f t="shared" si="47"/>
        <v>-251159057.99044541</v>
      </c>
      <c r="BM94" s="17">
        <f t="shared" si="47"/>
        <v>-239199198.67881089</v>
      </c>
      <c r="BN94" s="17">
        <f t="shared" si="47"/>
        <v>-227239348.14661908</v>
      </c>
      <c r="BO94" s="17">
        <f t="shared" si="47"/>
        <v>-215279504.75626925</v>
      </c>
      <c r="BP94" s="17">
        <f t="shared" si="47"/>
        <v>-203319666.79191339</v>
      </c>
      <c r="BQ94" s="17">
        <f t="shared" si="47"/>
        <v>-191359832.47825503</v>
      </c>
      <c r="BR94" s="17">
        <f t="shared" si="47"/>
        <v>-179400000</v>
      </c>
      <c r="BS94" s="7"/>
      <c r="BT94" s="25"/>
      <c r="BU94" s="15">
        <v>3.3333333333333333E-2</v>
      </c>
      <c r="BV94" s="17">
        <f t="shared" si="44"/>
        <v>0.52364764787515938</v>
      </c>
      <c r="BW94" s="17">
        <f t="shared" si="44"/>
        <v>0.52364764787515938</v>
      </c>
      <c r="BX94" s="17">
        <f t="shared" si="44"/>
        <v>0.52364764787515938</v>
      </c>
      <c r="BY94" s="17">
        <f t="shared" si="44"/>
        <v>0.52364764787515938</v>
      </c>
      <c r="BZ94" s="17">
        <f t="shared" si="44"/>
        <v>0.52364764787515938</v>
      </c>
      <c r="CA94" s="17">
        <f t="shared" si="44"/>
        <v>0.52364764787515938</v>
      </c>
      <c r="CB94" s="17">
        <f t="shared" si="44"/>
        <v>0.52364764787515938</v>
      </c>
      <c r="CC94" s="17">
        <f t="shared" si="44"/>
        <v>0.52364764787515938</v>
      </c>
      <c r="CD94" s="17">
        <f t="shared" si="44"/>
        <v>0.52364764787515938</v>
      </c>
      <c r="CE94" s="17">
        <f t="shared" si="44"/>
        <v>0.52364764787515938</v>
      </c>
      <c r="CF94" s="17">
        <f t="shared" si="44"/>
        <v>0.52364764787515938</v>
      </c>
      <c r="CG94" s="17">
        <f t="shared" si="44"/>
        <v>0.52364764787515938</v>
      </c>
      <c r="CH94" s="17">
        <f t="shared" si="44"/>
        <v>0.52364764787515938</v>
      </c>
      <c r="CI94" s="17">
        <f t="shared" si="44"/>
        <v>0.52364764787515938</v>
      </c>
      <c r="CJ94" s="17">
        <f t="shared" si="44"/>
        <v>0.52364764787515938</v>
      </c>
      <c r="CK94" s="17">
        <f t="shared" si="44"/>
        <v>0.52364764787515938</v>
      </c>
      <c r="CL94" s="17">
        <f t="shared" si="50"/>
        <v>0.52364764787515938</v>
      </c>
      <c r="CM94" s="17">
        <f t="shared" si="50"/>
        <v>0.52364764787515938</v>
      </c>
      <c r="CN94" s="17">
        <f t="shared" si="50"/>
        <v>0.52364764787515938</v>
      </c>
      <c r="CO94" s="17">
        <f t="shared" si="50"/>
        <v>0.52364764787515938</v>
      </c>
      <c r="CP94" s="17">
        <f t="shared" si="50"/>
        <v>0.52364764787515938</v>
      </c>
      <c r="CQ94" s="17">
        <f t="shared" si="50"/>
        <v>0.52364764787515938</v>
      </c>
      <c r="CR94" s="17">
        <f t="shared" si="50"/>
        <v>0.52364764787515938</v>
      </c>
      <c r="CS94" s="17">
        <f t="shared" si="50"/>
        <v>0.52364764787515938</v>
      </c>
      <c r="CT94" s="17">
        <f t="shared" si="50"/>
        <v>0.52364764787515938</v>
      </c>
      <c r="CU94" s="17">
        <f t="shared" si="48"/>
        <v>0.52364764787515938</v>
      </c>
      <c r="CV94" s="17">
        <f t="shared" si="48"/>
        <v>0.52364764787515938</v>
      </c>
      <c r="CW94" s="17">
        <f t="shared" si="48"/>
        <v>0.52364764787515938</v>
      </c>
      <c r="CX94" s="17">
        <f t="shared" si="48"/>
        <v>0.52364764787515938</v>
      </c>
      <c r="CY94" s="17">
        <f t="shared" si="48"/>
        <v>0.52364764787515938</v>
      </c>
      <c r="CZ94" s="17">
        <f t="shared" si="48"/>
        <v>0.52364764787515938</v>
      </c>
      <c r="DA94" s="7"/>
      <c r="DB94" s="25"/>
      <c r="DC94" s="15">
        <v>3.3333333333333333E-2</v>
      </c>
      <c r="DD94" s="17">
        <f t="shared" si="45"/>
        <v>142.90570563745223</v>
      </c>
      <c r="DE94" s="17">
        <f t="shared" si="45"/>
        <v>139.72997880869502</v>
      </c>
      <c r="DF94" s="17">
        <f t="shared" si="45"/>
        <v>136.55425246728379</v>
      </c>
      <c r="DG94" s="17">
        <f t="shared" si="45"/>
        <v>133.37852709522502</v>
      </c>
      <c r="DH94" s="17">
        <f t="shared" si="45"/>
        <v>130.20280316390489</v>
      </c>
      <c r="DI94" s="17">
        <f t="shared" si="45"/>
        <v>127.02708112892431</v>
      </c>
      <c r="DJ94" s="17">
        <f t="shared" si="45"/>
        <v>123.85136142510774</v>
      </c>
      <c r="DK94" s="17">
        <f t="shared" si="45"/>
        <v>120.67564446173877</v>
      </c>
      <c r="DL94" s="17">
        <f t="shared" si="45"/>
        <v>117.49993061807614</v>
      </c>
      <c r="DM94" s="17">
        <f t="shared" si="45"/>
        <v>114.32422023919837</v>
      </c>
      <c r="DN94" s="17">
        <f t="shared" si="45"/>
        <v>111.14851363222311</v>
      </c>
      <c r="DO94" s="17">
        <f t="shared" si="45"/>
        <v>107.97281106294228</v>
      </c>
      <c r="DP94" s="17">
        <f t="shared" si="45"/>
        <v>104.79711275290997</v>
      </c>
      <c r="DQ94" s="17">
        <f t="shared" si="45"/>
        <v>101.621418877015</v>
      </c>
      <c r="DR94" s="17">
        <f t="shared" si="45"/>
        <v>98.445729561564889</v>
      </c>
      <c r="DS94" s="17">
        <f t="shared" si="45"/>
        <v>95.270044882902042</v>
      </c>
      <c r="DT94" s="17">
        <f t="shared" si="51"/>
        <v>92.094364866567062</v>
      </c>
      <c r="DU94" s="17">
        <f t="shared" si="49"/>
        <v>88.918689487019293</v>
      </c>
      <c r="DV94" s="17">
        <f t="shared" si="49"/>
        <v>85.743018667916431</v>
      </c>
      <c r="DW94" s="17">
        <f t="shared" si="49"/>
        <v>82.567352282950893</v>
      </c>
      <c r="DX94" s="17">
        <f t="shared" si="49"/>
        <v>79.391690157233867</v>
      </c>
      <c r="DY94" s="17">
        <f t="shared" si="49"/>
        <v>76.216032069211252</v>
      </c>
      <c r="DZ94" s="17">
        <f t="shared" si="49"/>
        <v>73.040377753091178</v>
      </c>
      <c r="EA94" s="17">
        <f t="shared" si="49"/>
        <v>69.864726901755986</v>
      </c>
      <c r="EB94" s="17">
        <f t="shared" si="49"/>
        <v>66.689079170127059</v>
      </c>
      <c r="EC94" s="17">
        <f t="shared" si="49"/>
        <v>63.513434178945751</v>
      </c>
      <c r="ED94" s="17">
        <f t="shared" si="49"/>
        <v>60.337791518928405</v>
      </c>
      <c r="EE94" s="17">
        <f t="shared" si="49"/>
        <v>57.162150755250657</v>
      </c>
      <c r="EF94" s="17">
        <f t="shared" si="49"/>
        <v>53.986511432311488</v>
      </c>
      <c r="EG94" s="17">
        <f t="shared" si="49"/>
        <v>50.810873078724782</v>
      </c>
      <c r="EH94" s="17">
        <f t="shared" si="49"/>
        <v>47.635235212484062</v>
      </c>
    </row>
    <row r="95" spans="5:138" ht="15.6" x14ac:dyDescent="0.3">
      <c r="E95" s="25"/>
      <c r="F95" s="15">
        <v>3.0000000000000002E-2</v>
      </c>
      <c r="G95" s="17">
        <f t="shared" si="40"/>
        <v>300</v>
      </c>
      <c r="H95" s="17">
        <f t="shared" si="53"/>
        <v>293.33323995443425</v>
      </c>
      <c r="I95" s="17">
        <f t="shared" si="53"/>
        <v>286.66648093194715</v>
      </c>
      <c r="J95" s="17">
        <f t="shared" si="53"/>
        <v>279.99972394440846</v>
      </c>
      <c r="K95" s="17">
        <f t="shared" si="53"/>
        <v>273.33296998139275</v>
      </c>
      <c r="L95" s="17">
        <f t="shared" si="53"/>
        <v>266.66621999933682</v>
      </c>
      <c r="M95" s="17">
        <f t="shared" si="53"/>
        <v>259.99947491106172</v>
      </c>
      <c r="N95" s="17">
        <f t="shared" si="53"/>
        <v>253.33273557577095</v>
      </c>
      <c r="O95" s="17">
        <f t="shared" si="53"/>
        <v>246.66600278963713</v>
      </c>
      <c r="P95" s="17">
        <f t="shared" si="53"/>
        <v>239.99927727707893</v>
      </c>
      <c r="Q95" s="17">
        <f t="shared" si="54"/>
        <v>233.33255968282432</v>
      </c>
      <c r="R95" s="17">
        <f t="shared" si="54"/>
        <v>226.66585056484655</v>
      </c>
      <c r="S95" s="17">
        <f t="shared" si="54"/>
        <v>219.99915038825111</v>
      </c>
      <c r="T95" s="17">
        <f t="shared" si="54"/>
        <v>213.33245952017981</v>
      </c>
      <c r="U95" s="17">
        <f t="shared" si="54"/>
        <v>206.66577822578824</v>
      </c>
      <c r="V95" s="17">
        <f t="shared" si="54"/>
        <v>199.99910666534089</v>
      </c>
      <c r="W95" s="17">
        <f t="shared" si="54"/>
        <v>193.33244489245502</v>
      </c>
      <c r="X95" s="17">
        <f t="shared" si="54"/>
        <v>186.66579285351327</v>
      </c>
      <c r="Y95" s="17">
        <f t="shared" si="54"/>
        <v>179.99915038825128</v>
      </c>
      <c r="Z95" s="17">
        <f t="shared" si="54"/>
        <v>173.33251723151346</v>
      </c>
      <c r="AA95" s="17">
        <f t="shared" si="54"/>
        <v>166.6658930161579</v>
      </c>
      <c r="AB95" s="17">
        <f t="shared" si="54"/>
        <v>159.99927727707924</v>
      </c>
      <c r="AC95" s="17">
        <f t="shared" si="54"/>
        <v>153.33266945630416</v>
      </c>
      <c r="AD95" s="17">
        <f t="shared" si="54"/>
        <v>146.66606890910472</v>
      </c>
      <c r="AE95" s="17">
        <f t="shared" si="54"/>
        <v>139.99947491106218</v>
      </c>
      <c r="AF95" s="17">
        <f t="shared" si="54"/>
        <v>133.3328866660039</v>
      </c>
      <c r="AG95" s="17">
        <f t="shared" si="54"/>
        <v>126.66630331472639</v>
      </c>
      <c r="AH95" s="17">
        <f t="shared" si="54"/>
        <v>119.99972394440874</v>
      </c>
      <c r="AI95" s="17">
        <f t="shared" si="54"/>
        <v>113.33314759861396</v>
      </c>
      <c r="AJ95" s="17">
        <f t="shared" si="54"/>
        <v>106.66657328776759</v>
      </c>
      <c r="AK95" s="17">
        <f t="shared" si="42"/>
        <v>100</v>
      </c>
      <c r="AL95" s="25"/>
      <c r="AM95" s="15">
        <v>3.0000000000000002E-2</v>
      </c>
      <c r="AN95" s="17">
        <f t="shared" si="43"/>
        <v>-538200000</v>
      </c>
      <c r="AO95" s="17">
        <f t="shared" si="43"/>
        <v>-526239832.47825491</v>
      </c>
      <c r="AP95" s="17">
        <f t="shared" si="43"/>
        <v>-514279666.79191309</v>
      </c>
      <c r="AQ95" s="17">
        <f t="shared" si="43"/>
        <v>-502319504.7562688</v>
      </c>
      <c r="AR95" s="17">
        <f t="shared" si="43"/>
        <v>-490359348.14661849</v>
      </c>
      <c r="AS95" s="17">
        <f t="shared" si="43"/>
        <v>-478399198.67881024</v>
      </c>
      <c r="AT95" s="17">
        <f t="shared" si="43"/>
        <v>-466439057.99044472</v>
      </c>
      <c r="AU95" s="17">
        <f t="shared" si="43"/>
        <v>-454478927.62293309</v>
      </c>
      <c r="AV95" s="17">
        <f t="shared" si="43"/>
        <v>-442518809.00460899</v>
      </c>
      <c r="AW95" s="17">
        <f t="shared" si="43"/>
        <v>-430558703.43507957</v>
      </c>
      <c r="AX95" s="17">
        <f t="shared" si="43"/>
        <v>-418598612.07098681</v>
      </c>
      <c r="AY95" s="17">
        <f t="shared" si="43"/>
        <v>-406638535.91333473</v>
      </c>
      <c r="AZ95" s="17">
        <f t="shared" si="43"/>
        <v>-394678475.7965225</v>
      </c>
      <c r="BA95" s="17">
        <f t="shared" si="43"/>
        <v>-382718432.37920254</v>
      </c>
      <c r="BB95" s="17">
        <f t="shared" si="43"/>
        <v>-370758406.1370641</v>
      </c>
      <c r="BC95" s="17">
        <f t="shared" si="43"/>
        <v>-358798397.35762155</v>
      </c>
      <c r="BD95" s="17">
        <f t="shared" si="47"/>
        <v>-346838406.13706422</v>
      </c>
      <c r="BE95" s="17">
        <f t="shared" si="47"/>
        <v>-334878432.37920278</v>
      </c>
      <c r="BF95" s="17">
        <f t="shared" si="47"/>
        <v>-322918475.7965228</v>
      </c>
      <c r="BG95" s="17">
        <f t="shared" si="47"/>
        <v>-310958535.91333508</v>
      </c>
      <c r="BH95" s="17">
        <f t="shared" si="47"/>
        <v>-298998612.07098728</v>
      </c>
      <c r="BI95" s="17">
        <f t="shared" si="47"/>
        <v>-287038703.43508017</v>
      </c>
      <c r="BJ95" s="17">
        <f t="shared" si="47"/>
        <v>-275078809.00460958</v>
      </c>
      <c r="BK95" s="17">
        <f t="shared" si="47"/>
        <v>-263118927.62293383</v>
      </c>
      <c r="BL95" s="17">
        <f t="shared" si="47"/>
        <v>-251159057.99044549</v>
      </c>
      <c r="BM95" s="17">
        <f t="shared" si="47"/>
        <v>-239199198.67881098</v>
      </c>
      <c r="BN95" s="17">
        <f t="shared" si="47"/>
        <v>-227239348.14661911</v>
      </c>
      <c r="BO95" s="17">
        <f t="shared" si="47"/>
        <v>-215279504.75626928</v>
      </c>
      <c r="BP95" s="17">
        <f t="shared" si="47"/>
        <v>-203319666.79191342</v>
      </c>
      <c r="BQ95" s="17">
        <f t="shared" si="47"/>
        <v>-191359832.47825506</v>
      </c>
      <c r="BR95" s="17">
        <f t="shared" si="47"/>
        <v>-179400000</v>
      </c>
      <c r="BS95" s="7"/>
      <c r="BT95" s="25"/>
      <c r="BU95" s="15">
        <v>3.0000000000000002E-2</v>
      </c>
      <c r="BV95" s="17">
        <f t="shared" si="44"/>
        <v>0.5236522642828606</v>
      </c>
      <c r="BW95" s="17">
        <f t="shared" si="44"/>
        <v>0.5236522642828606</v>
      </c>
      <c r="BX95" s="17">
        <f t="shared" si="44"/>
        <v>0.5236522642828606</v>
      </c>
      <c r="BY95" s="17">
        <f t="shared" si="44"/>
        <v>0.5236522642828606</v>
      </c>
      <c r="BZ95" s="17">
        <f t="shared" si="44"/>
        <v>0.5236522642828606</v>
      </c>
      <c r="CA95" s="17">
        <f t="shared" si="44"/>
        <v>0.5236522642828606</v>
      </c>
      <c r="CB95" s="17">
        <f t="shared" si="44"/>
        <v>0.5236522642828606</v>
      </c>
      <c r="CC95" s="17">
        <f t="shared" si="44"/>
        <v>0.5236522642828606</v>
      </c>
      <c r="CD95" s="17">
        <f t="shared" si="44"/>
        <v>0.5236522642828606</v>
      </c>
      <c r="CE95" s="17">
        <f t="shared" si="44"/>
        <v>0.5236522642828606</v>
      </c>
      <c r="CF95" s="17">
        <f t="shared" si="44"/>
        <v>0.5236522642828606</v>
      </c>
      <c r="CG95" s="17">
        <f t="shared" si="44"/>
        <v>0.5236522642828606</v>
      </c>
      <c r="CH95" s="17">
        <f t="shared" si="44"/>
        <v>0.5236522642828606</v>
      </c>
      <c r="CI95" s="17">
        <f t="shared" si="44"/>
        <v>0.5236522642828606</v>
      </c>
      <c r="CJ95" s="17">
        <f t="shared" si="44"/>
        <v>0.5236522642828606</v>
      </c>
      <c r="CK95" s="17">
        <f t="shared" si="44"/>
        <v>0.5236522642828606</v>
      </c>
      <c r="CL95" s="17">
        <f t="shared" si="50"/>
        <v>0.5236522642828606</v>
      </c>
      <c r="CM95" s="17">
        <f t="shared" si="50"/>
        <v>0.5236522642828606</v>
      </c>
      <c r="CN95" s="17">
        <f t="shared" si="50"/>
        <v>0.5236522642828606</v>
      </c>
      <c r="CO95" s="17">
        <f t="shared" si="50"/>
        <v>0.5236522642828606</v>
      </c>
      <c r="CP95" s="17">
        <f t="shared" si="50"/>
        <v>0.5236522642828606</v>
      </c>
      <c r="CQ95" s="17">
        <f t="shared" si="50"/>
        <v>0.5236522642828606</v>
      </c>
      <c r="CR95" s="17">
        <f t="shared" si="50"/>
        <v>0.5236522642828606</v>
      </c>
      <c r="CS95" s="17">
        <f t="shared" si="50"/>
        <v>0.5236522642828606</v>
      </c>
      <c r="CT95" s="17">
        <f t="shared" si="50"/>
        <v>0.5236522642828606</v>
      </c>
      <c r="CU95" s="17">
        <f t="shared" si="48"/>
        <v>0.5236522642828606</v>
      </c>
      <c r="CV95" s="17">
        <f t="shared" si="48"/>
        <v>0.5236522642828606</v>
      </c>
      <c r="CW95" s="17">
        <f t="shared" si="48"/>
        <v>0.5236522642828606</v>
      </c>
      <c r="CX95" s="17">
        <f t="shared" si="48"/>
        <v>0.5236522642828606</v>
      </c>
      <c r="CY95" s="17">
        <f t="shared" si="48"/>
        <v>0.5236522642828606</v>
      </c>
      <c r="CZ95" s="17">
        <f t="shared" si="48"/>
        <v>0.5236522642828606</v>
      </c>
      <c r="DA95" s="7"/>
      <c r="DB95" s="25"/>
      <c r="DC95" s="15">
        <v>3.0000000000000002E-2</v>
      </c>
      <c r="DD95" s="17">
        <f t="shared" si="45"/>
        <v>142.90432071514186</v>
      </c>
      <c r="DE95" s="17">
        <f t="shared" si="45"/>
        <v>139.72862466286708</v>
      </c>
      <c r="DF95" s="17">
        <f t="shared" si="45"/>
        <v>136.55292909793357</v>
      </c>
      <c r="DG95" s="17">
        <f t="shared" si="45"/>
        <v>133.3772345023431</v>
      </c>
      <c r="DH95" s="17">
        <f t="shared" si="45"/>
        <v>130.2015413474773</v>
      </c>
      <c r="DI95" s="17">
        <f t="shared" si="45"/>
        <v>127.02585008893269</v>
      </c>
      <c r="DJ95" s="17">
        <f t="shared" si="45"/>
        <v>123.8501611615295</v>
      </c>
      <c r="DK95" s="17">
        <f t="shared" si="45"/>
        <v>120.67447497454734</v>
      </c>
      <c r="DL95" s="17">
        <f t="shared" si="45"/>
        <v>117.49879190724127</v>
      </c>
      <c r="DM95" s="17">
        <f t="shared" si="45"/>
        <v>114.3231123046865</v>
      </c>
      <c r="DN95" s="17">
        <f t="shared" si="45"/>
        <v>111.1474364739977</v>
      </c>
      <c r="DO95" s="17">
        <f t="shared" si="45"/>
        <v>107.97176468096418</v>
      </c>
      <c r="DP95" s="17">
        <f t="shared" si="45"/>
        <v>104.79609714713789</v>
      </c>
      <c r="DQ95" s="17">
        <f t="shared" si="45"/>
        <v>101.62043404740599</v>
      </c>
      <c r="DR95" s="17">
        <f t="shared" si="45"/>
        <v>98.444775508074756</v>
      </c>
      <c r="DS95" s="17">
        <f t="shared" si="45"/>
        <v>95.269121605485822</v>
      </c>
      <c r="DT95" s="17">
        <f t="shared" si="51"/>
        <v>92.093472365179608</v>
      </c>
      <c r="DU95" s="17">
        <f t="shared" si="49"/>
        <v>88.917827761615655</v>
      </c>
      <c r="DV95" s="17">
        <f t="shared" si="49"/>
        <v>85.742187718452385</v>
      </c>
      <c r="DW95" s="17">
        <f t="shared" si="49"/>
        <v>82.566552109383508</v>
      </c>
      <c r="DX95" s="17">
        <f t="shared" si="49"/>
        <v>79.390920759521833</v>
      </c>
      <c r="DY95" s="17">
        <f t="shared" si="49"/>
        <v>76.215293447315474</v>
      </c>
      <c r="DZ95" s="17">
        <f t="shared" si="49"/>
        <v>73.039669906975092</v>
      </c>
      <c r="EA95" s="17">
        <f t="shared" si="49"/>
        <v>69.864049831385998</v>
      </c>
      <c r="EB95" s="17">
        <f t="shared" si="49"/>
        <v>66.688432875472955</v>
      </c>
      <c r="EC95" s="17">
        <f t="shared" si="49"/>
        <v>63.512818659980951</v>
      </c>
      <c r="ED95" s="17">
        <f t="shared" si="49"/>
        <v>60.337206775630321</v>
      </c>
      <c r="EE95" s="17">
        <f t="shared" si="49"/>
        <v>57.161596787600914</v>
      </c>
      <c r="EF95" s="17">
        <f t="shared" si="49"/>
        <v>53.98598824029613</v>
      </c>
      <c r="EG95" s="17">
        <f t="shared" si="49"/>
        <v>50.810380662334417</v>
      </c>
      <c r="EH95" s="17">
        <f t="shared" si="49"/>
        <v>47.63477357171395</v>
      </c>
    </row>
    <row r="96" spans="5:138" ht="15.6" x14ac:dyDescent="0.3">
      <c r="E96" s="25"/>
      <c r="F96" s="15">
        <v>2.6666666666666668E-2</v>
      </c>
      <c r="G96" s="17">
        <f t="shared" si="40"/>
        <v>300</v>
      </c>
      <c r="H96" s="17">
        <f t="shared" si="53"/>
        <v>293.33323995443425</v>
      </c>
      <c r="I96" s="17">
        <f t="shared" si="53"/>
        <v>286.66648093194715</v>
      </c>
      <c r="J96" s="17">
        <f t="shared" si="53"/>
        <v>279.99972394440852</v>
      </c>
      <c r="K96" s="17">
        <f t="shared" si="53"/>
        <v>273.33296998139281</v>
      </c>
      <c r="L96" s="17">
        <f t="shared" si="53"/>
        <v>266.66621999933687</v>
      </c>
      <c r="M96" s="17">
        <f t="shared" si="53"/>
        <v>259.99947491106178</v>
      </c>
      <c r="N96" s="17">
        <f t="shared" si="53"/>
        <v>253.33273557577098</v>
      </c>
      <c r="O96" s="17">
        <f t="shared" si="53"/>
        <v>246.66600278963716</v>
      </c>
      <c r="P96" s="17">
        <f t="shared" si="53"/>
        <v>239.99927727707902</v>
      </c>
      <c r="Q96" s="17">
        <f t="shared" si="54"/>
        <v>233.33255968282435</v>
      </c>
      <c r="R96" s="17">
        <f t="shared" si="54"/>
        <v>226.66585056484661</v>
      </c>
      <c r="S96" s="17">
        <f t="shared" si="54"/>
        <v>219.99915038825117</v>
      </c>
      <c r="T96" s="17">
        <f t="shared" si="54"/>
        <v>213.33245952017987</v>
      </c>
      <c r="U96" s="17">
        <f t="shared" si="54"/>
        <v>206.6657782257883</v>
      </c>
      <c r="V96" s="17">
        <f t="shared" si="54"/>
        <v>199.99910666534095</v>
      </c>
      <c r="W96" s="17">
        <f t="shared" si="54"/>
        <v>193.33244489245504</v>
      </c>
      <c r="X96" s="17">
        <f t="shared" si="54"/>
        <v>186.66579285351332</v>
      </c>
      <c r="Y96" s="17">
        <f t="shared" si="54"/>
        <v>179.99915038825134</v>
      </c>
      <c r="Z96" s="17">
        <f t="shared" si="54"/>
        <v>173.33251723151346</v>
      </c>
      <c r="AA96" s="17">
        <f t="shared" si="54"/>
        <v>166.6658930161579</v>
      </c>
      <c r="AB96" s="17">
        <f t="shared" si="54"/>
        <v>159.99927727707927</v>
      </c>
      <c r="AC96" s="17">
        <f t="shared" si="54"/>
        <v>153.33266945630419</v>
      </c>
      <c r="AD96" s="17">
        <f t="shared" si="54"/>
        <v>146.66606890910475</v>
      </c>
      <c r="AE96" s="17">
        <f t="shared" si="54"/>
        <v>139.99947491106221</v>
      </c>
      <c r="AF96" s="17">
        <f t="shared" si="54"/>
        <v>133.33288666600396</v>
      </c>
      <c r="AG96" s="17">
        <f t="shared" si="54"/>
        <v>126.66630331472641</v>
      </c>
      <c r="AH96" s="17">
        <f t="shared" si="54"/>
        <v>119.99972394440877</v>
      </c>
      <c r="AI96" s="17">
        <f t="shared" si="54"/>
        <v>113.33314759861398</v>
      </c>
      <c r="AJ96" s="17">
        <f t="shared" si="54"/>
        <v>106.66657328776762</v>
      </c>
      <c r="AK96" s="17">
        <f t="shared" si="42"/>
        <v>100</v>
      </c>
      <c r="AL96" s="25"/>
      <c r="AM96" s="15">
        <v>2.6666666666666668E-2</v>
      </c>
      <c r="AN96" s="17">
        <f t="shared" si="43"/>
        <v>-538200000</v>
      </c>
      <c r="AO96" s="17">
        <f t="shared" si="43"/>
        <v>-526239832.47825491</v>
      </c>
      <c r="AP96" s="17">
        <f t="shared" si="43"/>
        <v>-514279666.79191309</v>
      </c>
      <c r="AQ96" s="17">
        <f t="shared" si="43"/>
        <v>-502319504.7562688</v>
      </c>
      <c r="AR96" s="17">
        <f t="shared" si="43"/>
        <v>-490359348.14661849</v>
      </c>
      <c r="AS96" s="17">
        <f t="shared" si="43"/>
        <v>-478399198.67881036</v>
      </c>
      <c r="AT96" s="17">
        <f t="shared" si="43"/>
        <v>-466439057.99044484</v>
      </c>
      <c r="AU96" s="17">
        <f t="shared" si="43"/>
        <v>-454478927.62293321</v>
      </c>
      <c r="AV96" s="17">
        <f t="shared" si="43"/>
        <v>-442518809.00460905</v>
      </c>
      <c r="AW96" s="17">
        <f t="shared" si="43"/>
        <v>-430558703.43507975</v>
      </c>
      <c r="AX96" s="17">
        <f t="shared" si="43"/>
        <v>-418598612.07098693</v>
      </c>
      <c r="AY96" s="17">
        <f t="shared" si="43"/>
        <v>-406638535.91333479</v>
      </c>
      <c r="AZ96" s="17">
        <f t="shared" si="43"/>
        <v>-394678475.79652262</v>
      </c>
      <c r="BA96" s="17">
        <f t="shared" si="43"/>
        <v>-382718432.37920266</v>
      </c>
      <c r="BB96" s="17">
        <f t="shared" si="43"/>
        <v>-370758406.13706428</v>
      </c>
      <c r="BC96" s="17">
        <f t="shared" si="43"/>
        <v>-358798397.35762167</v>
      </c>
      <c r="BD96" s="17">
        <f t="shared" si="47"/>
        <v>-346838406.13706428</v>
      </c>
      <c r="BE96" s="17">
        <f t="shared" si="47"/>
        <v>-334878432.37920284</v>
      </c>
      <c r="BF96" s="17">
        <f t="shared" si="47"/>
        <v>-322918475.79652286</v>
      </c>
      <c r="BG96" s="17">
        <f t="shared" si="47"/>
        <v>-310958535.91333514</v>
      </c>
      <c r="BH96" s="17">
        <f t="shared" si="47"/>
        <v>-298998612.07098728</v>
      </c>
      <c r="BI96" s="17">
        <f t="shared" si="47"/>
        <v>-287038703.43508023</v>
      </c>
      <c r="BJ96" s="17">
        <f t="shared" si="47"/>
        <v>-275078809.00460976</v>
      </c>
      <c r="BK96" s="17">
        <f t="shared" si="47"/>
        <v>-263118927.62293392</v>
      </c>
      <c r="BL96" s="17">
        <f t="shared" si="47"/>
        <v>-251159057.99044561</v>
      </c>
      <c r="BM96" s="17">
        <f t="shared" si="47"/>
        <v>-239199198.6788111</v>
      </c>
      <c r="BN96" s="17">
        <f t="shared" si="47"/>
        <v>-227239348.14661917</v>
      </c>
      <c r="BO96" s="17">
        <f t="shared" si="47"/>
        <v>-215279504.75626934</v>
      </c>
      <c r="BP96" s="17">
        <f t="shared" si="47"/>
        <v>-203319666.79191348</v>
      </c>
      <c r="BQ96" s="17">
        <f t="shared" si="47"/>
        <v>-191359832.47825509</v>
      </c>
      <c r="BR96" s="17">
        <f t="shared" si="47"/>
        <v>-179400000</v>
      </c>
      <c r="BS96" s="7"/>
      <c r="BT96" s="25"/>
      <c r="BU96" s="15">
        <v>2.6666666666666668E-2</v>
      </c>
      <c r="BV96" s="17">
        <f t="shared" si="44"/>
        <v>0.52366909962760211</v>
      </c>
      <c r="BW96" s="17">
        <f t="shared" si="44"/>
        <v>0.52366909962760211</v>
      </c>
      <c r="BX96" s="17">
        <f t="shared" si="44"/>
        <v>0.52366909962760211</v>
      </c>
      <c r="BY96" s="17">
        <f t="shared" si="44"/>
        <v>0.52366909962760211</v>
      </c>
      <c r="BZ96" s="17">
        <f t="shared" si="44"/>
        <v>0.52366909962760211</v>
      </c>
      <c r="CA96" s="17">
        <f t="shared" si="44"/>
        <v>0.52366909962760211</v>
      </c>
      <c r="CB96" s="17">
        <f t="shared" si="44"/>
        <v>0.52366909962760211</v>
      </c>
      <c r="CC96" s="17">
        <f t="shared" si="44"/>
        <v>0.52366909962760211</v>
      </c>
      <c r="CD96" s="17">
        <f t="shared" si="44"/>
        <v>0.52366909962760211</v>
      </c>
      <c r="CE96" s="17">
        <f t="shared" si="44"/>
        <v>0.52366909962760211</v>
      </c>
      <c r="CF96" s="17">
        <f t="shared" si="44"/>
        <v>0.52366909962760211</v>
      </c>
      <c r="CG96" s="17">
        <f t="shared" si="44"/>
        <v>0.52366909962760211</v>
      </c>
      <c r="CH96" s="17">
        <f t="shared" si="44"/>
        <v>0.52366909962760211</v>
      </c>
      <c r="CI96" s="17">
        <f t="shared" si="44"/>
        <v>0.52366909962760211</v>
      </c>
      <c r="CJ96" s="17">
        <f t="shared" si="44"/>
        <v>0.52366909962760211</v>
      </c>
      <c r="CK96" s="17">
        <f t="shared" si="44"/>
        <v>0.52366909962760211</v>
      </c>
      <c r="CL96" s="17">
        <f t="shared" si="50"/>
        <v>0.52366909962760211</v>
      </c>
      <c r="CM96" s="17">
        <f t="shared" si="50"/>
        <v>0.52366909962760211</v>
      </c>
      <c r="CN96" s="17">
        <f t="shared" si="50"/>
        <v>0.52366909962760211</v>
      </c>
      <c r="CO96" s="17">
        <f t="shared" si="50"/>
        <v>0.52366909962760211</v>
      </c>
      <c r="CP96" s="17">
        <f t="shared" si="50"/>
        <v>0.52366909962760211</v>
      </c>
      <c r="CQ96" s="17">
        <f t="shared" si="50"/>
        <v>0.52366909962760211</v>
      </c>
      <c r="CR96" s="17">
        <f t="shared" si="50"/>
        <v>0.52366909962760211</v>
      </c>
      <c r="CS96" s="17">
        <f t="shared" si="50"/>
        <v>0.52366909962760211</v>
      </c>
      <c r="CT96" s="17">
        <f t="shared" si="50"/>
        <v>0.52366909962760211</v>
      </c>
      <c r="CU96" s="17">
        <f t="shared" si="48"/>
        <v>0.52366909962760211</v>
      </c>
      <c r="CV96" s="17">
        <f t="shared" si="48"/>
        <v>0.52366909962760211</v>
      </c>
      <c r="CW96" s="17">
        <f t="shared" si="48"/>
        <v>0.52366909962760211</v>
      </c>
      <c r="CX96" s="17">
        <f t="shared" si="48"/>
        <v>0.52366909962760211</v>
      </c>
      <c r="CY96" s="17">
        <f t="shared" si="48"/>
        <v>0.52366909962760211</v>
      </c>
      <c r="CZ96" s="17">
        <f t="shared" si="48"/>
        <v>0.52366909962760211</v>
      </c>
      <c r="DA96" s="7"/>
      <c r="DB96" s="25"/>
      <c r="DC96" s="15">
        <v>2.6666666666666668E-2</v>
      </c>
      <c r="DD96" s="17">
        <f t="shared" si="45"/>
        <v>142.8992701117194</v>
      </c>
      <c r="DE96" s="17">
        <f t="shared" si="45"/>
        <v>139.72368629664828</v>
      </c>
      <c r="DF96" s="17">
        <f t="shared" si="45"/>
        <v>136.54810296890125</v>
      </c>
      <c r="DG96" s="17">
        <f t="shared" si="45"/>
        <v>133.37252061046297</v>
      </c>
      <c r="DH96" s="17">
        <f t="shared" si="45"/>
        <v>130.19693969269844</v>
      </c>
      <c r="DI96" s="17">
        <f t="shared" si="45"/>
        <v>127.02136067118809</v>
      </c>
      <c r="DJ96" s="17">
        <f t="shared" si="45"/>
        <v>123.84578398073677</v>
      </c>
      <c r="DK96" s="17">
        <f t="shared" si="45"/>
        <v>120.67021003060962</v>
      </c>
      <c r="DL96" s="17">
        <f t="shared" si="45"/>
        <v>117.4946392000483</v>
      </c>
      <c r="DM96" s="17">
        <f t="shared" si="45"/>
        <v>114.31907183411586</v>
      </c>
      <c r="DN96" s="17">
        <f t="shared" si="45"/>
        <v>111.14350823991602</v>
      </c>
      <c r="DO96" s="17">
        <f t="shared" si="45"/>
        <v>107.9679486832288</v>
      </c>
      <c r="DP96" s="17">
        <f t="shared" si="45"/>
        <v>104.79239338559827</v>
      </c>
      <c r="DQ96" s="17">
        <f t="shared" si="45"/>
        <v>101.61684252190543</v>
      </c>
      <c r="DR96" s="17">
        <f t="shared" si="45"/>
        <v>98.441296218452081</v>
      </c>
      <c r="DS96" s="17">
        <f t="shared" si="45"/>
        <v>95.265754551577132</v>
      </c>
      <c r="DT96" s="17">
        <f t="shared" si="51"/>
        <v>92.090217546820128</v>
      </c>
      <c r="DU96" s="17">
        <f t="shared" si="49"/>
        <v>88.914685178641534</v>
      </c>
      <c r="DV96" s="17">
        <f t="shared" si="49"/>
        <v>85.739157370702429</v>
      </c>
      <c r="DW96" s="17">
        <f t="shared" si="49"/>
        <v>82.563633996701</v>
      </c>
      <c r="DX96" s="17">
        <f t="shared" si="49"/>
        <v>79.388114881756252</v>
      </c>
      <c r="DY96" s="17">
        <f t="shared" si="49"/>
        <v>76.212599804324128</v>
      </c>
      <c r="DZ96" s="17">
        <f t="shared" si="49"/>
        <v>73.037088498624669</v>
      </c>
      <c r="EA96" s="17">
        <f t="shared" si="49"/>
        <v>69.861580657554029</v>
      </c>
      <c r="EB96" s="17">
        <f t="shared" si="49"/>
        <v>66.686075936049207</v>
      </c>
      <c r="EC96" s="17">
        <f t="shared" si="49"/>
        <v>63.510573954868562</v>
      </c>
      <c r="ED96" s="17">
        <f t="shared" si="49"/>
        <v>60.335074304746882</v>
      </c>
      <c r="EE96" s="17">
        <f t="shared" si="49"/>
        <v>57.159576550879436</v>
      </c>
      <c r="EF96" s="17">
        <f t="shared" si="49"/>
        <v>53.984080237685674</v>
      </c>
      <c r="EG96" s="17">
        <f t="shared" si="49"/>
        <v>50.80858489380072</v>
      </c>
      <c r="EH96" s="17">
        <f t="shared" si="49"/>
        <v>47.633090037239796</v>
      </c>
    </row>
    <row r="97" spans="5:138" ht="15.6" x14ac:dyDescent="0.3">
      <c r="E97" s="25"/>
      <c r="F97" s="15">
        <v>2.3333333333333334E-2</v>
      </c>
      <c r="G97" s="17">
        <f t="shared" si="40"/>
        <v>300</v>
      </c>
      <c r="H97" s="17">
        <f t="shared" si="53"/>
        <v>293.33323995443425</v>
      </c>
      <c r="I97" s="17">
        <f t="shared" si="53"/>
        <v>286.66648093194715</v>
      </c>
      <c r="J97" s="17">
        <f t="shared" si="53"/>
        <v>279.99972394440852</v>
      </c>
      <c r="K97" s="17">
        <f t="shared" si="53"/>
        <v>273.33296998139281</v>
      </c>
      <c r="L97" s="17">
        <f t="shared" si="53"/>
        <v>266.66621999933693</v>
      </c>
      <c r="M97" s="17">
        <f t="shared" si="53"/>
        <v>259.99947491106184</v>
      </c>
      <c r="N97" s="17">
        <f t="shared" si="53"/>
        <v>253.33273557577104</v>
      </c>
      <c r="O97" s="17">
        <f t="shared" si="53"/>
        <v>246.66600278963722</v>
      </c>
      <c r="P97" s="17">
        <f t="shared" si="53"/>
        <v>239.99927727707905</v>
      </c>
      <c r="Q97" s="17">
        <f t="shared" si="54"/>
        <v>233.33255968282441</v>
      </c>
      <c r="R97" s="17">
        <f t="shared" si="54"/>
        <v>226.66585056484666</v>
      </c>
      <c r="S97" s="17">
        <f t="shared" si="54"/>
        <v>219.99915038825122</v>
      </c>
      <c r="T97" s="17">
        <f t="shared" si="54"/>
        <v>213.3324595201799</v>
      </c>
      <c r="U97" s="17">
        <f t="shared" si="54"/>
        <v>206.66577822578836</v>
      </c>
      <c r="V97" s="17">
        <f t="shared" si="54"/>
        <v>199.999106665341</v>
      </c>
      <c r="W97" s="17">
        <f t="shared" si="54"/>
        <v>193.3324448924551</v>
      </c>
      <c r="X97" s="17">
        <f t="shared" si="54"/>
        <v>186.66579285351335</v>
      </c>
      <c r="Y97" s="17">
        <f t="shared" si="54"/>
        <v>179.99915038825137</v>
      </c>
      <c r="Z97" s="17">
        <f t="shared" si="54"/>
        <v>173.33251723151349</v>
      </c>
      <c r="AA97" s="17">
        <f t="shared" si="54"/>
        <v>166.6658930161579</v>
      </c>
      <c r="AB97" s="17">
        <f t="shared" si="54"/>
        <v>159.9992772770793</v>
      </c>
      <c r="AC97" s="17">
        <f t="shared" si="54"/>
        <v>153.33266945630425</v>
      </c>
      <c r="AD97" s="17">
        <f t="shared" si="54"/>
        <v>146.66606890910478</v>
      </c>
      <c r="AE97" s="17">
        <f t="shared" si="54"/>
        <v>139.99947491106224</v>
      </c>
      <c r="AF97" s="17">
        <f t="shared" si="54"/>
        <v>133.33288666600396</v>
      </c>
      <c r="AG97" s="17">
        <f t="shared" si="54"/>
        <v>126.66630331472642</v>
      </c>
      <c r="AH97" s="17">
        <f t="shared" si="54"/>
        <v>119.99972394440879</v>
      </c>
      <c r="AI97" s="17">
        <f t="shared" si="54"/>
        <v>113.333147598614</v>
      </c>
      <c r="AJ97" s="17">
        <f t="shared" si="54"/>
        <v>106.66657328776762</v>
      </c>
      <c r="AK97" s="17">
        <f t="shared" si="42"/>
        <v>100</v>
      </c>
      <c r="AL97" s="25"/>
      <c r="AM97" s="15">
        <v>2.3333333333333334E-2</v>
      </c>
      <c r="AN97" s="17">
        <f t="shared" si="43"/>
        <v>-538200000</v>
      </c>
      <c r="AO97" s="17">
        <f t="shared" si="43"/>
        <v>-526239832.47825491</v>
      </c>
      <c r="AP97" s="17">
        <f t="shared" si="43"/>
        <v>-514279666.79191321</v>
      </c>
      <c r="AQ97" s="17">
        <f t="shared" si="43"/>
        <v>-502319504.75626886</v>
      </c>
      <c r="AR97" s="17">
        <f t="shared" si="43"/>
        <v>-490359348.1466186</v>
      </c>
      <c r="AS97" s="17">
        <f t="shared" si="43"/>
        <v>-478399198.67881048</v>
      </c>
      <c r="AT97" s="17">
        <f t="shared" si="43"/>
        <v>-466439057.99044496</v>
      </c>
      <c r="AU97" s="17">
        <f t="shared" si="43"/>
        <v>-454478927.62293327</v>
      </c>
      <c r="AV97" s="17">
        <f t="shared" si="43"/>
        <v>-442518809.00460917</v>
      </c>
      <c r="AW97" s="17">
        <f t="shared" si="43"/>
        <v>-430558703.43507981</v>
      </c>
      <c r="AX97" s="17">
        <f t="shared" si="43"/>
        <v>-418598612.07098699</v>
      </c>
      <c r="AY97" s="17">
        <f t="shared" si="43"/>
        <v>-406638535.91333491</v>
      </c>
      <c r="AZ97" s="17">
        <f t="shared" si="43"/>
        <v>-394678475.79652268</v>
      </c>
      <c r="BA97" s="17">
        <f t="shared" si="43"/>
        <v>-382718432.37920272</v>
      </c>
      <c r="BB97" s="17">
        <f t="shared" si="43"/>
        <v>-370758406.13706434</v>
      </c>
      <c r="BC97" s="17">
        <f t="shared" si="43"/>
        <v>-358798397.35762167</v>
      </c>
      <c r="BD97" s="17">
        <f t="shared" si="47"/>
        <v>-346838406.13706434</v>
      </c>
      <c r="BE97" s="17">
        <f t="shared" si="47"/>
        <v>-334878432.3792029</v>
      </c>
      <c r="BF97" s="17">
        <f t="shared" si="47"/>
        <v>-322918475.79652292</v>
      </c>
      <c r="BG97" s="17">
        <f t="shared" si="47"/>
        <v>-310958535.9133352</v>
      </c>
      <c r="BH97" s="17">
        <f t="shared" si="47"/>
        <v>-298998612.07098734</v>
      </c>
      <c r="BI97" s="17">
        <f t="shared" si="47"/>
        <v>-287038703.43508029</v>
      </c>
      <c r="BJ97" s="17">
        <f t="shared" si="47"/>
        <v>-275078809.00460976</v>
      </c>
      <c r="BK97" s="17">
        <f t="shared" si="47"/>
        <v>-263118927.62293392</v>
      </c>
      <c r="BL97" s="17">
        <f t="shared" si="47"/>
        <v>-251159057.99044561</v>
      </c>
      <c r="BM97" s="17">
        <f t="shared" si="47"/>
        <v>-239199198.6788111</v>
      </c>
      <c r="BN97" s="17">
        <f t="shared" si="47"/>
        <v>-227239348.14661917</v>
      </c>
      <c r="BO97" s="17">
        <f t="shared" si="47"/>
        <v>-215279504.75626934</v>
      </c>
      <c r="BP97" s="17">
        <f t="shared" si="47"/>
        <v>-203319666.79191348</v>
      </c>
      <c r="BQ97" s="17">
        <f t="shared" si="47"/>
        <v>-191359832.47825509</v>
      </c>
      <c r="BR97" s="17">
        <f t="shared" si="47"/>
        <v>-179400000</v>
      </c>
      <c r="BS97" s="7"/>
      <c r="BT97" s="25"/>
      <c r="BU97" s="15">
        <v>2.3333333333333334E-2</v>
      </c>
      <c r="BV97" s="17">
        <f t="shared" si="44"/>
        <v>0.52373049308338915</v>
      </c>
      <c r="BW97" s="17">
        <f t="shared" si="44"/>
        <v>0.52373049308338915</v>
      </c>
      <c r="BX97" s="17">
        <f t="shared" si="44"/>
        <v>0.52373049308338915</v>
      </c>
      <c r="BY97" s="17">
        <f t="shared" si="44"/>
        <v>0.52373049308338915</v>
      </c>
      <c r="BZ97" s="17">
        <f t="shared" si="44"/>
        <v>0.52373049308338915</v>
      </c>
      <c r="CA97" s="17">
        <f t="shared" si="44"/>
        <v>0.52373049308338915</v>
      </c>
      <c r="CB97" s="17">
        <f t="shared" si="44"/>
        <v>0.52373049308338915</v>
      </c>
      <c r="CC97" s="17">
        <f t="shared" si="44"/>
        <v>0.52373049308338915</v>
      </c>
      <c r="CD97" s="17">
        <f t="shared" si="44"/>
        <v>0.52373049308338915</v>
      </c>
      <c r="CE97" s="17">
        <f t="shared" si="44"/>
        <v>0.52373049308338915</v>
      </c>
      <c r="CF97" s="17">
        <f t="shared" si="44"/>
        <v>0.52373049308338915</v>
      </c>
      <c r="CG97" s="17">
        <f t="shared" si="44"/>
        <v>0.52373049308338915</v>
      </c>
      <c r="CH97" s="17">
        <f t="shared" si="44"/>
        <v>0.52373049308338915</v>
      </c>
      <c r="CI97" s="17">
        <f t="shared" si="44"/>
        <v>0.52373049308338915</v>
      </c>
      <c r="CJ97" s="17">
        <f t="shared" si="44"/>
        <v>0.52373049308338915</v>
      </c>
      <c r="CK97" s="17">
        <f t="shared" ref="CK97:CK103" si="55">$B$20/($B$21-$B$22*CK98)</f>
        <v>0.52373049308338915</v>
      </c>
      <c r="CL97" s="17">
        <f t="shared" si="50"/>
        <v>0.52373049308338915</v>
      </c>
      <c r="CM97" s="17">
        <f t="shared" si="50"/>
        <v>0.52373049308338915</v>
      </c>
      <c r="CN97" s="17">
        <f t="shared" si="50"/>
        <v>0.52373049308338915</v>
      </c>
      <c r="CO97" s="17">
        <f t="shared" si="50"/>
        <v>0.52373049308338915</v>
      </c>
      <c r="CP97" s="17">
        <f t="shared" si="50"/>
        <v>0.52373049308338915</v>
      </c>
      <c r="CQ97" s="17">
        <f t="shared" si="50"/>
        <v>0.52373049308338915</v>
      </c>
      <c r="CR97" s="17">
        <f t="shared" si="50"/>
        <v>0.52373049308338915</v>
      </c>
      <c r="CS97" s="17">
        <f t="shared" si="50"/>
        <v>0.52373049308338915</v>
      </c>
      <c r="CT97" s="17">
        <f t="shared" si="50"/>
        <v>0.52373049308338915</v>
      </c>
      <c r="CU97" s="17">
        <f t="shared" si="48"/>
        <v>0.52373049308338915</v>
      </c>
      <c r="CV97" s="17">
        <f t="shared" si="48"/>
        <v>0.52373049308338915</v>
      </c>
      <c r="CW97" s="17">
        <f t="shared" si="48"/>
        <v>0.52373049308338915</v>
      </c>
      <c r="CX97" s="17">
        <f t="shared" si="48"/>
        <v>0.52373049308338915</v>
      </c>
      <c r="CY97" s="17">
        <f t="shared" si="48"/>
        <v>0.52373049308338915</v>
      </c>
      <c r="CZ97" s="17">
        <f t="shared" si="48"/>
        <v>0.52373049308338915</v>
      </c>
      <c r="DA97" s="7"/>
      <c r="DB97" s="25"/>
      <c r="DC97" s="15">
        <v>2.3333333333333334E-2</v>
      </c>
      <c r="DD97" s="17">
        <f t="shared" si="45"/>
        <v>142.88085207498327</v>
      </c>
      <c r="DE97" s="17">
        <f t="shared" si="45"/>
        <v>139.70567755535029</v>
      </c>
      <c r="DF97" s="17">
        <f t="shared" si="45"/>
        <v>136.53050352297853</v>
      </c>
      <c r="DG97" s="17">
        <f t="shared" si="45"/>
        <v>133.35533045979062</v>
      </c>
      <c r="DH97" s="17">
        <f t="shared" si="45"/>
        <v>130.18015883709077</v>
      </c>
      <c r="DI97" s="17">
        <f t="shared" si="45"/>
        <v>127.0049891104007</v>
      </c>
      <c r="DJ97" s="17">
        <f t="shared" si="45"/>
        <v>123.82982171446918</v>
      </c>
      <c r="DK97" s="17">
        <f t="shared" si="45"/>
        <v>120.65465705850866</v>
      </c>
      <c r="DL97" s="17">
        <f t="shared" si="45"/>
        <v>117.4794955217119</v>
      </c>
      <c r="DM97" s="17">
        <f t="shared" si="45"/>
        <v>114.30433744909743</v>
      </c>
      <c r="DN97" s="17">
        <f t="shared" si="45"/>
        <v>111.12918314772946</v>
      </c>
      <c r="DO97" s="17">
        <f t="shared" si="45"/>
        <v>107.95403288335373</v>
      </c>
      <c r="DP97" s="17">
        <f t="shared" si="45"/>
        <v>104.77888687748575</v>
      </c>
      <c r="DQ97" s="17">
        <f t="shared" si="45"/>
        <v>101.60374530498395</v>
      </c>
      <c r="DR97" s="17">
        <f t="shared" si="45"/>
        <v>98.428608292133887</v>
      </c>
      <c r="DS97" s="17">
        <f t="shared" si="45"/>
        <v>95.25347591526463</v>
      </c>
      <c r="DT97" s="17">
        <f t="shared" si="51"/>
        <v>92.07834819991244</v>
      </c>
      <c r="DU97" s="17">
        <f t="shared" si="49"/>
        <v>88.903225120541038</v>
      </c>
      <c r="DV97" s="17">
        <f t="shared" si="49"/>
        <v>85.728106600821377</v>
      </c>
      <c r="DW97" s="17">
        <f t="shared" si="49"/>
        <v>82.552992514467903</v>
      </c>
      <c r="DX97" s="17">
        <f t="shared" si="49"/>
        <v>79.377882686622158</v>
      </c>
      <c r="DY97" s="17">
        <f t="shared" si="49"/>
        <v>76.202776895768679</v>
      </c>
      <c r="DZ97" s="17">
        <f t="shared" si="49"/>
        <v>73.027674876161711</v>
      </c>
      <c r="EA97" s="17">
        <f t="shared" si="49"/>
        <v>69.852576320737015</v>
      </c>
      <c r="EB97" s="17">
        <f t="shared" si="49"/>
        <v>66.67748088447604</v>
      </c>
      <c r="EC97" s="17">
        <f t="shared" si="49"/>
        <v>63.502388188186075</v>
      </c>
      <c r="ED97" s="17">
        <f t="shared" si="49"/>
        <v>60.327297822654629</v>
      </c>
      <c r="EE97" s="17">
        <f t="shared" si="49"/>
        <v>57.152209353133003</v>
      </c>
      <c r="EF97" s="17">
        <f t="shared" si="49"/>
        <v>53.977122324099376</v>
      </c>
      <c r="EG97" s="17">
        <f t="shared" si="49"/>
        <v>50.802036264249622</v>
      </c>
      <c r="EH97" s="17">
        <f t="shared" si="49"/>
        <v>47.626950691661094</v>
      </c>
    </row>
    <row r="98" spans="5:138" ht="15.6" x14ac:dyDescent="0.3">
      <c r="E98" s="25"/>
      <c r="F98" s="15">
        <v>0.02</v>
      </c>
      <c r="G98" s="17">
        <f t="shared" si="40"/>
        <v>300</v>
      </c>
      <c r="H98" s="17">
        <f t="shared" si="53"/>
        <v>293.33323995443425</v>
      </c>
      <c r="I98" s="17">
        <f t="shared" si="53"/>
        <v>286.66648093194721</v>
      </c>
      <c r="J98" s="17">
        <f t="shared" si="53"/>
        <v>279.99972394440857</v>
      </c>
      <c r="K98" s="17">
        <f t="shared" si="53"/>
        <v>273.33296998139286</v>
      </c>
      <c r="L98" s="17">
        <f t="shared" si="53"/>
        <v>266.66621999933699</v>
      </c>
      <c r="M98" s="17">
        <f t="shared" si="53"/>
        <v>259.9994749110619</v>
      </c>
      <c r="N98" s="17">
        <f t="shared" si="53"/>
        <v>253.3327355757711</v>
      </c>
      <c r="O98" s="17">
        <f t="shared" si="53"/>
        <v>246.66600278963728</v>
      </c>
      <c r="P98" s="17">
        <f t="shared" si="53"/>
        <v>239.9992772770791</v>
      </c>
      <c r="Q98" s="17">
        <f t="shared" si="54"/>
        <v>233.33255968282447</v>
      </c>
      <c r="R98" s="17">
        <f t="shared" si="54"/>
        <v>226.66585056484669</v>
      </c>
      <c r="S98" s="17">
        <f t="shared" si="54"/>
        <v>219.99915038825128</v>
      </c>
      <c r="T98" s="17">
        <f t="shared" si="54"/>
        <v>213.33245952017992</v>
      </c>
      <c r="U98" s="17">
        <f t="shared" si="54"/>
        <v>206.66577822578842</v>
      </c>
      <c r="V98" s="17">
        <f t="shared" si="54"/>
        <v>199.99910666534106</v>
      </c>
      <c r="W98" s="17">
        <f t="shared" si="54"/>
        <v>193.33244489245513</v>
      </c>
      <c r="X98" s="17">
        <f t="shared" si="54"/>
        <v>186.66579285351338</v>
      </c>
      <c r="Y98" s="17">
        <f t="shared" si="54"/>
        <v>179.99915038825139</v>
      </c>
      <c r="Z98" s="17">
        <f t="shared" si="54"/>
        <v>173.33251723151352</v>
      </c>
      <c r="AA98" s="17">
        <f t="shared" si="54"/>
        <v>166.66589301615795</v>
      </c>
      <c r="AB98" s="17">
        <f t="shared" si="54"/>
        <v>159.99927727707933</v>
      </c>
      <c r="AC98" s="17">
        <f t="shared" si="54"/>
        <v>153.3326694563043</v>
      </c>
      <c r="AD98" s="17">
        <f t="shared" si="54"/>
        <v>146.66606890910481</v>
      </c>
      <c r="AE98" s="17">
        <f t="shared" si="54"/>
        <v>139.99947491106224</v>
      </c>
      <c r="AF98" s="17">
        <f t="shared" si="54"/>
        <v>133.33288666600401</v>
      </c>
      <c r="AG98" s="17">
        <f t="shared" si="54"/>
        <v>126.66630331472643</v>
      </c>
      <c r="AH98" s="17">
        <f t="shared" si="54"/>
        <v>119.99972394440883</v>
      </c>
      <c r="AI98" s="17">
        <f t="shared" si="54"/>
        <v>113.33314759861403</v>
      </c>
      <c r="AJ98" s="17">
        <f t="shared" si="54"/>
        <v>106.66657328776765</v>
      </c>
      <c r="AK98" s="17">
        <f t="shared" si="42"/>
        <v>100</v>
      </c>
      <c r="AL98" s="25"/>
      <c r="AM98" s="15">
        <v>0.02</v>
      </c>
      <c r="AN98" s="17">
        <f t="shared" si="43"/>
        <v>-538200000</v>
      </c>
      <c r="AO98" s="17">
        <f t="shared" si="43"/>
        <v>-526239832.47825491</v>
      </c>
      <c r="AP98" s="17">
        <f t="shared" si="43"/>
        <v>-514279666.79191321</v>
      </c>
      <c r="AQ98" s="17">
        <f t="shared" si="43"/>
        <v>-502319504.75626886</v>
      </c>
      <c r="AR98" s="17">
        <f t="shared" si="43"/>
        <v>-490359348.14661872</v>
      </c>
      <c r="AS98" s="17">
        <f t="shared" si="43"/>
        <v>-478399198.67881048</v>
      </c>
      <c r="AT98" s="17">
        <f t="shared" si="43"/>
        <v>-466439057.99044496</v>
      </c>
      <c r="AU98" s="17">
        <f t="shared" ref="AU98:BJ104" si="56">-($B$12*$B$11)/$B$8*N63</f>
        <v>-454478927.62293333</v>
      </c>
      <c r="AV98" s="17">
        <f t="shared" si="56"/>
        <v>-442518809.00460923</v>
      </c>
      <c r="AW98" s="17">
        <f t="shared" si="56"/>
        <v>-430558703.43507993</v>
      </c>
      <c r="AX98" s="17">
        <f t="shared" si="56"/>
        <v>-418598612.07098705</v>
      </c>
      <c r="AY98" s="17">
        <f t="shared" si="56"/>
        <v>-406638535.91333491</v>
      </c>
      <c r="AZ98" s="17">
        <f t="shared" si="56"/>
        <v>-394678475.79652274</v>
      </c>
      <c r="BA98" s="17">
        <f t="shared" si="56"/>
        <v>-382718432.37920278</v>
      </c>
      <c r="BB98" s="17">
        <f t="shared" si="56"/>
        <v>-370758406.13706434</v>
      </c>
      <c r="BC98" s="17">
        <f t="shared" si="56"/>
        <v>-358798397.35762179</v>
      </c>
      <c r="BD98" s="17">
        <f t="shared" si="47"/>
        <v>-346838406.13706446</v>
      </c>
      <c r="BE98" s="17">
        <f t="shared" si="47"/>
        <v>-334878432.37920296</v>
      </c>
      <c r="BF98" s="17">
        <f t="shared" si="47"/>
        <v>-322918475.79652297</v>
      </c>
      <c r="BG98" s="17">
        <f t="shared" si="47"/>
        <v>-310958535.91333526</v>
      </c>
      <c r="BH98" s="17">
        <f t="shared" si="47"/>
        <v>-298998612.07098734</v>
      </c>
      <c r="BI98" s="17">
        <f t="shared" si="47"/>
        <v>-287038703.43508029</v>
      </c>
      <c r="BJ98" s="17">
        <f t="shared" si="47"/>
        <v>-275078809.00460988</v>
      </c>
      <c r="BK98" s="17">
        <f t="shared" si="47"/>
        <v>-263118927.62293401</v>
      </c>
      <c r="BL98" s="17">
        <f t="shared" si="47"/>
        <v>-251159057.99044564</v>
      </c>
      <c r="BM98" s="17">
        <f t="shared" si="47"/>
        <v>-239199198.67881116</v>
      </c>
      <c r="BN98" s="17">
        <f t="shared" si="47"/>
        <v>-227239348.14661923</v>
      </c>
      <c r="BO98" s="17">
        <f t="shared" si="47"/>
        <v>-215279504.7562694</v>
      </c>
      <c r="BP98" s="17">
        <f t="shared" si="47"/>
        <v>-203319666.79191351</v>
      </c>
      <c r="BQ98" s="17">
        <f t="shared" si="47"/>
        <v>-191359832.47825512</v>
      </c>
      <c r="BR98" s="17">
        <f t="shared" si="47"/>
        <v>-179400000</v>
      </c>
      <c r="BS98" s="7"/>
      <c r="BT98" s="25"/>
      <c r="BU98" s="15">
        <v>0.02</v>
      </c>
      <c r="BV98" s="17">
        <f t="shared" ref="BV98:CJ103" si="57">$B$20/($B$21-$B$22*BV99)</f>
        <v>0.52395434317249412</v>
      </c>
      <c r="BW98" s="17">
        <f t="shared" si="57"/>
        <v>0.52395434317249412</v>
      </c>
      <c r="BX98" s="17">
        <f t="shared" si="57"/>
        <v>0.52395434317249412</v>
      </c>
      <c r="BY98" s="17">
        <f t="shared" si="57"/>
        <v>0.52395434317249412</v>
      </c>
      <c r="BZ98" s="17">
        <f t="shared" si="57"/>
        <v>0.52395434317249412</v>
      </c>
      <c r="CA98" s="17">
        <f t="shared" si="57"/>
        <v>0.52395434317249412</v>
      </c>
      <c r="CB98" s="17">
        <f t="shared" si="57"/>
        <v>0.52395434317249412</v>
      </c>
      <c r="CC98" s="17">
        <f t="shared" si="57"/>
        <v>0.52395434317249412</v>
      </c>
      <c r="CD98" s="17">
        <f t="shared" si="57"/>
        <v>0.52395434317249412</v>
      </c>
      <c r="CE98" s="17">
        <f t="shared" si="57"/>
        <v>0.52395434317249412</v>
      </c>
      <c r="CF98" s="17">
        <f t="shared" si="57"/>
        <v>0.52395434317249412</v>
      </c>
      <c r="CG98" s="17">
        <f t="shared" si="57"/>
        <v>0.52395434317249412</v>
      </c>
      <c r="CH98" s="17">
        <f t="shared" si="57"/>
        <v>0.52395434317249412</v>
      </c>
      <c r="CI98" s="17">
        <f t="shared" si="57"/>
        <v>0.52395434317249412</v>
      </c>
      <c r="CJ98" s="17">
        <f t="shared" si="57"/>
        <v>0.52395434317249412</v>
      </c>
      <c r="CK98" s="17">
        <f t="shared" si="55"/>
        <v>0.52395434317249412</v>
      </c>
      <c r="CL98" s="17">
        <f t="shared" si="50"/>
        <v>0.52395434317249412</v>
      </c>
      <c r="CM98" s="17">
        <f t="shared" si="50"/>
        <v>0.52395434317249412</v>
      </c>
      <c r="CN98" s="17">
        <f t="shared" si="50"/>
        <v>0.52395434317249412</v>
      </c>
      <c r="CO98" s="17">
        <f t="shared" si="50"/>
        <v>0.52395434317249412</v>
      </c>
      <c r="CP98" s="17">
        <f t="shared" si="50"/>
        <v>0.52395434317249412</v>
      </c>
      <c r="CQ98" s="17">
        <f t="shared" si="50"/>
        <v>0.52395434317249412</v>
      </c>
      <c r="CR98" s="17">
        <f t="shared" si="50"/>
        <v>0.52395434317249412</v>
      </c>
      <c r="CS98" s="17">
        <f t="shared" si="50"/>
        <v>0.52395434317249412</v>
      </c>
      <c r="CT98" s="17">
        <f t="shared" si="50"/>
        <v>0.52395434317249412</v>
      </c>
      <c r="CU98" s="17">
        <f t="shared" si="48"/>
        <v>0.52395434317249412</v>
      </c>
      <c r="CV98" s="17">
        <f t="shared" si="48"/>
        <v>0.52395434317249412</v>
      </c>
      <c r="CW98" s="17">
        <f t="shared" si="48"/>
        <v>0.52395434317249412</v>
      </c>
      <c r="CX98" s="17">
        <f t="shared" si="48"/>
        <v>0.52395434317249412</v>
      </c>
      <c r="CY98" s="17">
        <f t="shared" si="48"/>
        <v>0.52395434317249412</v>
      </c>
      <c r="CZ98" s="17">
        <f t="shared" si="48"/>
        <v>0.52395434317249412</v>
      </c>
      <c r="DA98" s="7"/>
      <c r="DB98" s="25"/>
      <c r="DC98" s="15">
        <v>0.02</v>
      </c>
      <c r="DD98" s="17">
        <f t="shared" si="45"/>
        <v>142.81369704825178</v>
      </c>
      <c r="DE98" s="17">
        <f t="shared" si="45"/>
        <v>139.64001488344906</v>
      </c>
      <c r="DF98" s="17">
        <f t="shared" si="45"/>
        <v>136.46633320567852</v>
      </c>
      <c r="DG98" s="17">
        <f t="shared" si="45"/>
        <v>133.29265249663632</v>
      </c>
      <c r="DH98" s="17">
        <f t="shared" si="45"/>
        <v>130.11897322740515</v>
      </c>
      <c r="DI98" s="17">
        <f t="shared" si="45"/>
        <v>126.94529585329258</v>
      </c>
      <c r="DJ98" s="17">
        <f t="shared" si="45"/>
        <v>123.77162080884312</v>
      </c>
      <c r="DK98" s="17">
        <f t="shared" ref="DK98:DS103" si="58">(DK99*$B$22-AU98)/($B$21-$B$22*CC99)</f>
        <v>120.59794850307685</v>
      </c>
      <c r="DL98" s="17">
        <f t="shared" si="58"/>
        <v>117.42427931500829</v>
      </c>
      <c r="DM98" s="17">
        <f t="shared" si="58"/>
        <v>114.25061358949387</v>
      </c>
      <c r="DN98" s="17">
        <f t="shared" si="58"/>
        <v>111.0769516334534</v>
      </c>
      <c r="DO98" s="17">
        <f t="shared" si="58"/>
        <v>107.90329371250775</v>
      </c>
      <c r="DP98" s="17">
        <f t="shared" si="58"/>
        <v>104.72964004806835</v>
      </c>
      <c r="DQ98" s="17">
        <f t="shared" si="58"/>
        <v>101.55599081491138</v>
      </c>
      <c r="DR98" s="17">
        <f t="shared" si="58"/>
        <v>98.38234613926312</v>
      </c>
      <c r="DS98" s="17">
        <f t="shared" si="58"/>
        <v>95.208706097416709</v>
      </c>
      <c r="DT98" s="17">
        <f t="shared" si="51"/>
        <v>92.035070714896406</v>
      </c>
      <c r="DU98" s="17">
        <f t="shared" si="49"/>
        <v>88.86143996617794</v>
      </c>
      <c r="DV98" s="17">
        <f t="shared" si="49"/>
        <v>85.687813774968177</v>
      </c>
      <c r="DW98" s="17">
        <f t="shared" si="49"/>
        <v>82.514192015040862</v>
      </c>
      <c r="DX98" s="17">
        <f t="shared" si="49"/>
        <v>79.340574511619764</v>
      </c>
      <c r="DY98" s="17">
        <f t="shared" si="49"/>
        <v>76.166961043293469</v>
      </c>
      <c r="DZ98" s="17">
        <f t="shared" si="49"/>
        <v>72.993351344441251</v>
      </c>
      <c r="EA98" s="17">
        <f t="shared" si="49"/>
        <v>69.819745108143053</v>
      </c>
      <c r="EB98" s="17">
        <f t="shared" si="49"/>
        <v>66.646141989542571</v>
      </c>
      <c r="EC98" s="17">
        <f t="shared" si="49"/>
        <v>63.472541609625296</v>
      </c>
      <c r="ED98" s="17">
        <f t="shared" si="49"/>
        <v>60.298943559371047</v>
      </c>
      <c r="EE98" s="17">
        <f t="shared" si="49"/>
        <v>57.125347404235498</v>
      </c>
      <c r="EF98" s="17">
        <f t="shared" si="49"/>
        <v>53.951752688910894</v>
      </c>
      <c r="EG98" s="17">
        <f t="shared" si="49"/>
        <v>50.778158942314654</v>
      </c>
      <c r="EH98" s="17">
        <f t="shared" si="49"/>
        <v>47.604565682750604</v>
      </c>
    </row>
    <row r="99" spans="5:138" ht="15.6" x14ac:dyDescent="0.3">
      <c r="E99" s="25"/>
      <c r="F99" s="15">
        <v>1.6666666666666666E-2</v>
      </c>
      <c r="G99" s="17">
        <f t="shared" si="40"/>
        <v>300</v>
      </c>
      <c r="H99" s="17">
        <f t="shared" si="53"/>
        <v>293.33323995443425</v>
      </c>
      <c r="I99" s="17">
        <f t="shared" si="53"/>
        <v>286.66648093194726</v>
      </c>
      <c r="J99" s="17">
        <f t="shared" si="53"/>
        <v>279.99972394440857</v>
      </c>
      <c r="K99" s="17">
        <f t="shared" si="53"/>
        <v>273.33296998139292</v>
      </c>
      <c r="L99" s="17">
        <f t="shared" si="53"/>
        <v>266.66621999933699</v>
      </c>
      <c r="M99" s="17">
        <f t="shared" si="53"/>
        <v>259.9994749110619</v>
      </c>
      <c r="N99" s="17">
        <f t="shared" si="53"/>
        <v>253.3327355757711</v>
      </c>
      <c r="O99" s="17">
        <f t="shared" si="53"/>
        <v>246.66600278963728</v>
      </c>
      <c r="P99" s="17">
        <f t="shared" si="53"/>
        <v>239.9992772770791</v>
      </c>
      <c r="Q99" s="17">
        <f t="shared" si="54"/>
        <v>233.33255968282447</v>
      </c>
      <c r="R99" s="17">
        <f t="shared" si="54"/>
        <v>226.66585056484669</v>
      </c>
      <c r="S99" s="17">
        <f t="shared" si="54"/>
        <v>219.99915038825128</v>
      </c>
      <c r="T99" s="17">
        <f t="shared" si="54"/>
        <v>213.33245952017992</v>
      </c>
      <c r="U99" s="17">
        <f t="shared" si="54"/>
        <v>206.66577822578842</v>
      </c>
      <c r="V99" s="17">
        <f t="shared" si="54"/>
        <v>199.99910666534106</v>
      </c>
      <c r="W99" s="17">
        <f t="shared" si="54"/>
        <v>193.33244489245513</v>
      </c>
      <c r="X99" s="17">
        <f t="shared" si="54"/>
        <v>186.66579285351338</v>
      </c>
      <c r="Y99" s="17">
        <f t="shared" si="54"/>
        <v>179.99915038825139</v>
      </c>
      <c r="Z99" s="17">
        <f t="shared" si="54"/>
        <v>173.33251723151352</v>
      </c>
      <c r="AA99" s="17">
        <f t="shared" si="54"/>
        <v>166.66589301615795</v>
      </c>
      <c r="AB99" s="17">
        <f t="shared" si="54"/>
        <v>159.99927727707933</v>
      </c>
      <c r="AC99" s="17">
        <f t="shared" si="54"/>
        <v>153.3326694563043</v>
      </c>
      <c r="AD99" s="17">
        <f t="shared" si="54"/>
        <v>146.66606890910481</v>
      </c>
      <c r="AE99" s="17">
        <f t="shared" si="54"/>
        <v>139.99947491106224</v>
      </c>
      <c r="AF99" s="17">
        <f t="shared" si="54"/>
        <v>133.33288666600401</v>
      </c>
      <c r="AG99" s="17">
        <f t="shared" si="54"/>
        <v>126.66630331472645</v>
      </c>
      <c r="AH99" s="17">
        <f t="shared" si="54"/>
        <v>119.99972394440883</v>
      </c>
      <c r="AI99" s="17">
        <f t="shared" si="54"/>
        <v>113.33314759861403</v>
      </c>
      <c r="AJ99" s="17">
        <f t="shared" si="54"/>
        <v>106.66657328776765</v>
      </c>
      <c r="AK99" s="17">
        <f t="shared" si="42"/>
        <v>100</v>
      </c>
      <c r="AL99" s="25"/>
      <c r="AM99" s="15">
        <v>1.6666666666666666E-2</v>
      </c>
      <c r="AN99" s="17">
        <f t="shared" ref="AN99:AT104" si="59">-($B$12*$B$11)/$B$8*G64</f>
        <v>-538200000</v>
      </c>
      <c r="AO99" s="17">
        <f t="shared" si="59"/>
        <v>-526239832.47825491</v>
      </c>
      <c r="AP99" s="17">
        <f t="shared" si="59"/>
        <v>-514279666.79191321</v>
      </c>
      <c r="AQ99" s="17">
        <f t="shared" si="59"/>
        <v>-502319504.75626886</v>
      </c>
      <c r="AR99" s="17">
        <f t="shared" si="59"/>
        <v>-490359348.14661872</v>
      </c>
      <c r="AS99" s="17">
        <f t="shared" si="59"/>
        <v>-478399198.67881048</v>
      </c>
      <c r="AT99" s="17">
        <f t="shared" si="59"/>
        <v>-466439057.99044496</v>
      </c>
      <c r="AU99" s="17">
        <f t="shared" si="56"/>
        <v>-454478927.62293333</v>
      </c>
      <c r="AV99" s="17">
        <f t="shared" si="56"/>
        <v>-442518809.00460923</v>
      </c>
      <c r="AW99" s="17">
        <f t="shared" si="56"/>
        <v>-430558703.43507993</v>
      </c>
      <c r="AX99" s="17">
        <f t="shared" si="56"/>
        <v>-418598612.07098705</v>
      </c>
      <c r="AY99" s="17">
        <f t="shared" si="56"/>
        <v>-406638535.91333491</v>
      </c>
      <c r="AZ99" s="17">
        <f t="shared" si="56"/>
        <v>-394678475.79652274</v>
      </c>
      <c r="BA99" s="17">
        <f t="shared" si="56"/>
        <v>-382718432.37920278</v>
      </c>
      <c r="BB99" s="17">
        <f t="shared" si="56"/>
        <v>-370758406.13706434</v>
      </c>
      <c r="BC99" s="17">
        <f t="shared" si="56"/>
        <v>-358798397.35762179</v>
      </c>
      <c r="BD99" s="17">
        <f t="shared" si="56"/>
        <v>-346838406.13706446</v>
      </c>
      <c r="BE99" s="17">
        <f t="shared" si="56"/>
        <v>-334878432.37920296</v>
      </c>
      <c r="BF99" s="17">
        <f t="shared" si="56"/>
        <v>-322918475.79652297</v>
      </c>
      <c r="BG99" s="17">
        <f t="shared" si="56"/>
        <v>-310958535.91333526</v>
      </c>
      <c r="BH99" s="17">
        <f t="shared" si="56"/>
        <v>-298998612.07098734</v>
      </c>
      <c r="BI99" s="17">
        <f t="shared" si="56"/>
        <v>-287038703.43508029</v>
      </c>
      <c r="BJ99" s="17">
        <f t="shared" si="56"/>
        <v>-275078809.00460988</v>
      </c>
      <c r="BK99" s="17">
        <f t="shared" ref="BK99:BR104" si="60">-($B$12*$B$11)/$B$8*AD64</f>
        <v>-263118927.62293401</v>
      </c>
      <c r="BL99" s="17">
        <f t="shared" si="60"/>
        <v>-251159057.99044564</v>
      </c>
      <c r="BM99" s="17">
        <f t="shared" si="60"/>
        <v>-239199198.67881116</v>
      </c>
      <c r="BN99" s="17">
        <f t="shared" si="60"/>
        <v>-227239348.14661923</v>
      </c>
      <c r="BO99" s="17">
        <f t="shared" si="60"/>
        <v>-215279504.7562694</v>
      </c>
      <c r="BP99" s="17">
        <f t="shared" si="60"/>
        <v>-203319666.79191351</v>
      </c>
      <c r="BQ99" s="17">
        <f t="shared" si="60"/>
        <v>-191359832.47825512</v>
      </c>
      <c r="BR99" s="17">
        <f t="shared" si="60"/>
        <v>-179400000</v>
      </c>
      <c r="BS99" s="7"/>
      <c r="BT99" s="25"/>
      <c r="BU99" s="15">
        <v>1.6666666666666666E-2</v>
      </c>
      <c r="BV99" s="17">
        <f t="shared" si="57"/>
        <v>0.52477009107620376</v>
      </c>
      <c r="BW99" s="17">
        <f t="shared" si="57"/>
        <v>0.52477009107620376</v>
      </c>
      <c r="BX99" s="17">
        <f t="shared" si="57"/>
        <v>0.52477009107620376</v>
      </c>
      <c r="BY99" s="17">
        <f t="shared" si="57"/>
        <v>0.52477009107620376</v>
      </c>
      <c r="BZ99" s="17">
        <f t="shared" si="57"/>
        <v>0.52477009107620376</v>
      </c>
      <c r="CA99" s="17">
        <f t="shared" si="57"/>
        <v>0.52477009107620376</v>
      </c>
      <c r="CB99" s="17">
        <f t="shared" si="57"/>
        <v>0.52477009107620376</v>
      </c>
      <c r="CC99" s="17">
        <f t="shared" si="57"/>
        <v>0.52477009107620376</v>
      </c>
      <c r="CD99" s="17">
        <f t="shared" si="57"/>
        <v>0.52477009107620376</v>
      </c>
      <c r="CE99" s="17">
        <f t="shared" si="57"/>
        <v>0.52477009107620376</v>
      </c>
      <c r="CF99" s="17">
        <f t="shared" si="57"/>
        <v>0.52477009107620376</v>
      </c>
      <c r="CG99" s="17">
        <f t="shared" si="57"/>
        <v>0.52477009107620376</v>
      </c>
      <c r="CH99" s="17">
        <f t="shared" si="57"/>
        <v>0.52477009107620376</v>
      </c>
      <c r="CI99" s="17">
        <f t="shared" si="57"/>
        <v>0.52477009107620376</v>
      </c>
      <c r="CJ99" s="17">
        <f t="shared" si="57"/>
        <v>0.52477009107620376</v>
      </c>
      <c r="CK99" s="17">
        <f t="shared" si="55"/>
        <v>0.52477009107620376</v>
      </c>
      <c r="CL99" s="17">
        <f t="shared" si="50"/>
        <v>0.52477009107620376</v>
      </c>
      <c r="CM99" s="17">
        <f t="shared" si="50"/>
        <v>0.52477009107620376</v>
      </c>
      <c r="CN99" s="17">
        <f t="shared" si="50"/>
        <v>0.52477009107620376</v>
      </c>
      <c r="CO99" s="17">
        <f t="shared" si="50"/>
        <v>0.52477009107620376</v>
      </c>
      <c r="CP99" s="17">
        <f t="shared" si="50"/>
        <v>0.52477009107620376</v>
      </c>
      <c r="CQ99" s="17">
        <f t="shared" si="50"/>
        <v>0.52477009107620376</v>
      </c>
      <c r="CR99" s="17">
        <f t="shared" si="50"/>
        <v>0.52477009107620376</v>
      </c>
      <c r="CS99" s="17">
        <f t="shared" si="50"/>
        <v>0.52477009107620376</v>
      </c>
      <c r="CT99" s="17">
        <f t="shared" si="50"/>
        <v>0.52477009107620376</v>
      </c>
      <c r="CU99" s="17">
        <f t="shared" si="48"/>
        <v>0.52477009107620376</v>
      </c>
      <c r="CV99" s="17">
        <f t="shared" si="48"/>
        <v>0.52477009107620376</v>
      </c>
      <c r="CW99" s="17">
        <f t="shared" si="48"/>
        <v>0.52477009107620376</v>
      </c>
      <c r="CX99" s="17">
        <f t="shared" si="48"/>
        <v>0.52477009107620376</v>
      </c>
      <c r="CY99" s="17">
        <f t="shared" si="48"/>
        <v>0.52477009107620376</v>
      </c>
      <c r="CZ99" s="17">
        <f t="shared" si="48"/>
        <v>0.52477009107620376</v>
      </c>
      <c r="DA99" s="7"/>
      <c r="DB99" s="25"/>
      <c r="DC99" s="15">
        <v>1.6666666666666666E-2</v>
      </c>
      <c r="DD99" s="17">
        <f t="shared" ref="DD99:DJ103" si="61">(DD100*$B$22-AN99)/($B$21-$B$22*BV100)</f>
        <v>142.56897267713887</v>
      </c>
      <c r="DE99" s="17">
        <f t="shared" si="61"/>
        <v>139.40072890786786</v>
      </c>
      <c r="DF99" s="17">
        <f t="shared" si="61"/>
        <v>136.23248562479446</v>
      </c>
      <c r="DG99" s="17">
        <f t="shared" si="61"/>
        <v>133.06424330878937</v>
      </c>
      <c r="DH99" s="17">
        <f t="shared" si="61"/>
        <v>129.89600243012808</v>
      </c>
      <c r="DI99" s="17">
        <f t="shared" si="61"/>
        <v>126.72776344333792</v>
      </c>
      <c r="DJ99" s="17">
        <f t="shared" si="61"/>
        <v>123.5595267822188</v>
      </c>
      <c r="DK99" s="17">
        <f t="shared" si="58"/>
        <v>120.39129285508987</v>
      </c>
      <c r="DL99" s="17">
        <f t="shared" si="58"/>
        <v>117.22306204031619</v>
      </c>
      <c r="DM99" s="17">
        <f t="shared" si="58"/>
        <v>114.05483468216323</v>
      </c>
      <c r="DN99" s="17">
        <f t="shared" si="58"/>
        <v>110.88661108702492</v>
      </c>
      <c r="DO99" s="17">
        <f t="shared" si="58"/>
        <v>107.7183915200669</v>
      </c>
      <c r="DP99" s="17">
        <f t="shared" si="58"/>
        <v>104.55017620232121</v>
      </c>
      <c r="DQ99" s="17">
        <f t="shared" si="58"/>
        <v>101.38196530826455</v>
      </c>
      <c r="DR99" s="17">
        <f t="shared" si="58"/>
        <v>98.213758963906898</v>
      </c>
      <c r="DS99" s="17">
        <f t="shared" si="58"/>
        <v>95.045557245410649</v>
      </c>
      <c r="DT99" s="17">
        <f t="shared" si="51"/>
        <v>91.877360178256311</v>
      </c>
      <c r="DU99" s="17">
        <f t="shared" si="49"/>
        <v>88.70916773696338</v>
      </c>
      <c r="DV99" s="17">
        <f t="shared" si="49"/>
        <v>85.540979845369421</v>
      </c>
      <c r="DW99" s="17">
        <f t="shared" si="49"/>
        <v>82.372796377464525</v>
      </c>
      <c r="DX99" s="17">
        <f t="shared" si="49"/>
        <v>79.204617158771924</v>
      </c>
      <c r="DY99" s="17">
        <f t="shared" si="49"/>
        <v>76.036441968259638</v>
      </c>
      <c r="DZ99" s="17">
        <f t="shared" si="49"/>
        <v>72.868270540762055</v>
      </c>
      <c r="EA99" s="17">
        <f t="shared" si="49"/>
        <v>69.700102569885118</v>
      </c>
      <c r="EB99" s="17">
        <f t="shared" si="49"/>
        <v>66.531937711363412</v>
      </c>
      <c r="EC99" s="17">
        <f t="shared" si="49"/>
        <v>63.363775586831935</v>
      </c>
      <c r="ED99" s="17">
        <f t="shared" si="49"/>
        <v>60.195615787971406</v>
      </c>
      <c r="EE99" s="17">
        <f t="shared" si="49"/>
        <v>57.027457880982098</v>
      </c>
      <c r="EF99" s="17">
        <f t="shared" si="49"/>
        <v>53.859301411336496</v>
      </c>
      <c r="EG99" s="17">
        <f t="shared" si="49"/>
        <v>50.69114590875926</v>
      </c>
      <c r="EH99" s="17">
        <f t="shared" si="49"/>
        <v>47.522990892379639</v>
      </c>
    </row>
    <row r="100" spans="5:138" ht="15.6" x14ac:dyDescent="0.3">
      <c r="E100" s="25"/>
      <c r="F100" s="15">
        <v>1.3333333333333334E-2</v>
      </c>
      <c r="G100" s="17">
        <f t="shared" si="40"/>
        <v>300</v>
      </c>
      <c r="H100" s="17">
        <f t="shared" si="53"/>
        <v>293.33323995443425</v>
      </c>
      <c r="I100" s="17">
        <f t="shared" si="53"/>
        <v>286.66648093194726</v>
      </c>
      <c r="J100" s="17">
        <f t="shared" si="53"/>
        <v>279.99972394440852</v>
      </c>
      <c r="K100" s="17">
        <f t="shared" si="53"/>
        <v>273.33296998139292</v>
      </c>
      <c r="L100" s="17">
        <f t="shared" si="53"/>
        <v>266.66621999933693</v>
      </c>
      <c r="M100" s="17">
        <f t="shared" si="53"/>
        <v>259.9994749110619</v>
      </c>
      <c r="N100" s="17">
        <f t="shared" si="53"/>
        <v>253.3327355757711</v>
      </c>
      <c r="O100" s="17">
        <f t="shared" si="53"/>
        <v>246.66600278963725</v>
      </c>
      <c r="P100" s="17">
        <f t="shared" si="53"/>
        <v>239.9992772770791</v>
      </c>
      <c r="Q100" s="17">
        <f t="shared" si="54"/>
        <v>233.33255968282447</v>
      </c>
      <c r="R100" s="17">
        <f t="shared" si="54"/>
        <v>226.66585056484666</v>
      </c>
      <c r="S100" s="17">
        <f t="shared" si="54"/>
        <v>219.99915038825128</v>
      </c>
      <c r="T100" s="17">
        <f t="shared" si="54"/>
        <v>213.33245952017992</v>
      </c>
      <c r="U100" s="17">
        <f t="shared" si="54"/>
        <v>206.66577822578839</v>
      </c>
      <c r="V100" s="17">
        <f t="shared" si="54"/>
        <v>199.99910666534106</v>
      </c>
      <c r="W100" s="17">
        <f t="shared" si="54"/>
        <v>193.33244489245513</v>
      </c>
      <c r="X100" s="17">
        <f t="shared" si="54"/>
        <v>186.66579285351338</v>
      </c>
      <c r="Y100" s="17">
        <f t="shared" si="54"/>
        <v>179.99915038825139</v>
      </c>
      <c r="Z100" s="17">
        <f t="shared" si="54"/>
        <v>173.33251723151352</v>
      </c>
      <c r="AA100" s="17">
        <f t="shared" si="54"/>
        <v>166.66589301615795</v>
      </c>
      <c r="AB100" s="17">
        <f t="shared" si="54"/>
        <v>159.99927727707933</v>
      </c>
      <c r="AC100" s="17">
        <f t="shared" si="54"/>
        <v>153.33266945630427</v>
      </c>
      <c r="AD100" s="17">
        <f t="shared" si="54"/>
        <v>146.66606890910481</v>
      </c>
      <c r="AE100" s="17">
        <f t="shared" si="54"/>
        <v>139.99947491106224</v>
      </c>
      <c r="AF100" s="17">
        <f t="shared" si="54"/>
        <v>133.33288666600401</v>
      </c>
      <c r="AG100" s="17">
        <f t="shared" si="54"/>
        <v>126.66630331472646</v>
      </c>
      <c r="AH100" s="17">
        <f t="shared" si="54"/>
        <v>119.99972394440883</v>
      </c>
      <c r="AI100" s="17">
        <f t="shared" si="54"/>
        <v>113.33314759861402</v>
      </c>
      <c r="AJ100" s="17">
        <f t="shared" si="54"/>
        <v>106.66657328776763</v>
      </c>
      <c r="AK100" s="17">
        <f t="shared" si="42"/>
        <v>100</v>
      </c>
      <c r="AL100" s="25"/>
      <c r="AM100" s="15">
        <v>1.3333333333333334E-2</v>
      </c>
      <c r="AN100" s="17">
        <f t="shared" si="59"/>
        <v>-538200000</v>
      </c>
      <c r="AO100" s="17">
        <f t="shared" si="59"/>
        <v>-526239832.47825491</v>
      </c>
      <c r="AP100" s="17">
        <f t="shared" si="59"/>
        <v>-514279666.79191321</v>
      </c>
      <c r="AQ100" s="17">
        <f t="shared" si="59"/>
        <v>-502319504.75626886</v>
      </c>
      <c r="AR100" s="17">
        <f t="shared" si="59"/>
        <v>-490359348.14661872</v>
      </c>
      <c r="AS100" s="17">
        <f t="shared" si="59"/>
        <v>-478399198.67881048</v>
      </c>
      <c r="AT100" s="17">
        <f t="shared" si="59"/>
        <v>-466439057.99044496</v>
      </c>
      <c r="AU100" s="17">
        <f t="shared" si="56"/>
        <v>-454478927.62293333</v>
      </c>
      <c r="AV100" s="17">
        <f t="shared" si="56"/>
        <v>-442518809.00460917</v>
      </c>
      <c r="AW100" s="17">
        <f t="shared" si="56"/>
        <v>-430558703.43507981</v>
      </c>
      <c r="AX100" s="17">
        <f t="shared" si="56"/>
        <v>-418598612.07098699</v>
      </c>
      <c r="AY100" s="17">
        <f t="shared" si="56"/>
        <v>-406638535.91333491</v>
      </c>
      <c r="AZ100" s="17">
        <f t="shared" si="56"/>
        <v>-394678475.79652274</v>
      </c>
      <c r="BA100" s="17">
        <f t="shared" si="56"/>
        <v>-382718432.37920278</v>
      </c>
      <c r="BB100" s="17">
        <f t="shared" si="56"/>
        <v>-370758406.13706434</v>
      </c>
      <c r="BC100" s="17">
        <f t="shared" si="56"/>
        <v>-358798397.35762179</v>
      </c>
      <c r="BD100" s="17">
        <f t="shared" si="56"/>
        <v>-346838406.13706446</v>
      </c>
      <c r="BE100" s="17">
        <f t="shared" si="56"/>
        <v>-334878432.37920296</v>
      </c>
      <c r="BF100" s="17">
        <f t="shared" si="56"/>
        <v>-322918475.79652297</v>
      </c>
      <c r="BG100" s="17">
        <f t="shared" si="56"/>
        <v>-310958535.91333526</v>
      </c>
      <c r="BH100" s="17">
        <f t="shared" si="56"/>
        <v>-298998612.07098734</v>
      </c>
      <c r="BI100" s="17">
        <f t="shared" si="56"/>
        <v>-287038703.43508029</v>
      </c>
      <c r="BJ100" s="17">
        <f t="shared" si="56"/>
        <v>-275078809.00460988</v>
      </c>
      <c r="BK100" s="17">
        <f t="shared" si="60"/>
        <v>-263118927.62293401</v>
      </c>
      <c r="BL100" s="17">
        <f t="shared" si="60"/>
        <v>-251159057.99044564</v>
      </c>
      <c r="BM100" s="17">
        <f t="shared" si="60"/>
        <v>-239199198.67881116</v>
      </c>
      <c r="BN100" s="17">
        <f t="shared" si="60"/>
        <v>-227239348.14661923</v>
      </c>
      <c r="BO100" s="17">
        <f t="shared" si="60"/>
        <v>-215279504.7562694</v>
      </c>
      <c r="BP100" s="17">
        <f t="shared" si="60"/>
        <v>-203319666.79191351</v>
      </c>
      <c r="BQ100" s="17">
        <f t="shared" si="60"/>
        <v>-191359832.47825512</v>
      </c>
      <c r="BR100" s="17">
        <f t="shared" si="60"/>
        <v>-179400000</v>
      </c>
      <c r="BS100" s="7"/>
      <c r="BT100" s="25"/>
      <c r="BU100" s="15">
        <v>1.3333333333333334E-2</v>
      </c>
      <c r="BV100" s="17">
        <f t="shared" si="57"/>
        <v>0.52773692643981163</v>
      </c>
      <c r="BW100" s="17">
        <f t="shared" si="57"/>
        <v>0.52773692643981163</v>
      </c>
      <c r="BX100" s="17">
        <f t="shared" si="57"/>
        <v>0.52773692643981163</v>
      </c>
      <c r="BY100" s="17">
        <f t="shared" si="57"/>
        <v>0.52773692643981163</v>
      </c>
      <c r="BZ100" s="17">
        <f t="shared" si="57"/>
        <v>0.52773692643981163</v>
      </c>
      <c r="CA100" s="17">
        <f t="shared" si="57"/>
        <v>0.52773692643981163</v>
      </c>
      <c r="CB100" s="17">
        <f t="shared" si="57"/>
        <v>0.52773692643981163</v>
      </c>
      <c r="CC100" s="17">
        <f t="shared" si="57"/>
        <v>0.52773692643981163</v>
      </c>
      <c r="CD100" s="17">
        <f t="shared" si="57"/>
        <v>0.52773692643981163</v>
      </c>
      <c r="CE100" s="17">
        <f t="shared" si="57"/>
        <v>0.52773692643981163</v>
      </c>
      <c r="CF100" s="17">
        <f t="shared" si="57"/>
        <v>0.52773692643981163</v>
      </c>
      <c r="CG100" s="17">
        <f t="shared" si="57"/>
        <v>0.52773692643981163</v>
      </c>
      <c r="CH100" s="17">
        <f t="shared" si="57"/>
        <v>0.52773692643981163</v>
      </c>
      <c r="CI100" s="17">
        <f t="shared" si="57"/>
        <v>0.52773692643981163</v>
      </c>
      <c r="CJ100" s="17">
        <f t="shared" si="57"/>
        <v>0.52773692643981163</v>
      </c>
      <c r="CK100" s="17">
        <f t="shared" si="55"/>
        <v>0.52773692643981163</v>
      </c>
      <c r="CL100" s="17">
        <f t="shared" si="50"/>
        <v>0.52773692643981163</v>
      </c>
      <c r="CM100" s="17">
        <f t="shared" si="50"/>
        <v>0.52773692643981163</v>
      </c>
      <c r="CN100" s="17">
        <f t="shared" si="50"/>
        <v>0.52773692643981163</v>
      </c>
      <c r="CO100" s="17">
        <f t="shared" si="50"/>
        <v>0.52773692643981163</v>
      </c>
      <c r="CP100" s="17">
        <f t="shared" si="50"/>
        <v>0.52773692643981163</v>
      </c>
      <c r="CQ100" s="17">
        <f t="shared" si="50"/>
        <v>0.52773692643981163</v>
      </c>
      <c r="CR100" s="17">
        <f t="shared" si="50"/>
        <v>0.52773692643981163</v>
      </c>
      <c r="CS100" s="17">
        <f t="shared" si="50"/>
        <v>0.52773692643981163</v>
      </c>
      <c r="CT100" s="17">
        <f t="shared" si="50"/>
        <v>0.52773692643981163</v>
      </c>
      <c r="CU100" s="17">
        <f t="shared" si="48"/>
        <v>0.52773692643981163</v>
      </c>
      <c r="CV100" s="17">
        <f t="shared" si="48"/>
        <v>0.52773692643981163</v>
      </c>
      <c r="CW100" s="17">
        <f t="shared" si="48"/>
        <v>0.52773692643981163</v>
      </c>
      <c r="CX100" s="17">
        <f t="shared" si="48"/>
        <v>0.52773692643981163</v>
      </c>
      <c r="CY100" s="17">
        <f t="shared" si="48"/>
        <v>0.52773692643981163</v>
      </c>
      <c r="CZ100" s="17">
        <f t="shared" si="48"/>
        <v>0.52773692643981163</v>
      </c>
      <c r="DA100" s="7"/>
      <c r="DB100" s="25"/>
      <c r="DC100" s="15">
        <v>1.3333333333333334E-2</v>
      </c>
      <c r="DD100" s="17">
        <f t="shared" si="61"/>
        <v>141.67892206805649</v>
      </c>
      <c r="DE100" s="17">
        <f t="shared" si="61"/>
        <v>138.53045747824936</v>
      </c>
      <c r="DF100" s="17">
        <f t="shared" si="61"/>
        <v>135.38199337160452</v>
      </c>
      <c r="DG100" s="17">
        <f t="shared" si="61"/>
        <v>132.23353022599065</v>
      </c>
      <c r="DH100" s="17">
        <f t="shared" si="61"/>
        <v>129.0850685087473</v>
      </c>
      <c r="DI100" s="17">
        <f t="shared" si="61"/>
        <v>125.93660867156424</v>
      </c>
      <c r="DJ100" s="17">
        <f t="shared" si="61"/>
        <v>122.78815114553315</v>
      </c>
      <c r="DK100" s="17">
        <f t="shared" si="58"/>
        <v>119.63969633642414</v>
      </c>
      <c r="DL100" s="17">
        <f t="shared" si="58"/>
        <v>116.49124462024008</v>
      </c>
      <c r="DM100" s="17">
        <f t="shared" si="58"/>
        <v>113.34279633909723</v>
      </c>
      <c r="DN100" s="17">
        <f t="shared" si="58"/>
        <v>110.19435179747676</v>
      </c>
      <c r="DO100" s="17">
        <f t="shared" si="58"/>
        <v>107.04591125888885</v>
      </c>
      <c r="DP100" s="17">
        <f t="shared" si="58"/>
        <v>103.89747494298567</v>
      </c>
      <c r="DQ100" s="17">
        <f t="shared" si="58"/>
        <v>100.74904302315464</v>
      </c>
      <c r="DR100" s="17">
        <f t="shared" si="58"/>
        <v>97.600615624619067</v>
      </c>
      <c r="DS100" s="17">
        <f t="shared" si="58"/>
        <v>94.452192823065914</v>
      </c>
      <c r="DT100" s="17">
        <f t="shared" si="51"/>
        <v>91.303774643816595</v>
      </c>
      <c r="DU100" s="17">
        <f t="shared" si="49"/>
        <v>88.155361061549669</v>
      </c>
      <c r="DV100" s="17">
        <f t="shared" si="49"/>
        <v>85.006952000578181</v>
      </c>
      <c r="DW100" s="17">
        <f t="shared" si="49"/>
        <v>81.858547335678892</v>
      </c>
      <c r="DX100" s="17">
        <f t="shared" ref="DX100:EH103" si="62">(DX101*$B$22-BH100)/($B$21-$B$22*CP101)</f>
        <v>78.710146893464284</v>
      </c>
      <c r="DY100" s="17">
        <f t="shared" si="62"/>
        <v>75.56175045428229</v>
      </c>
      <c r="DZ100" s="17">
        <f t="shared" si="62"/>
        <v>72.413357754622666</v>
      </c>
      <c r="EA100" s="17">
        <f t="shared" si="62"/>
        <v>69.264968490004222</v>
      </c>
      <c r="EB100" s="17">
        <f t="shared" si="62"/>
        <v>66.116582318310719</v>
      </c>
      <c r="EC100" s="17">
        <f t="shared" si="62"/>
        <v>62.968198863539314</v>
      </c>
      <c r="ED100" s="17">
        <f t="shared" si="62"/>
        <v>59.819817719919797</v>
      </c>
      <c r="EE100" s="17">
        <f t="shared" si="62"/>
        <v>56.67143845636064</v>
      </c>
      <c r="EF100" s="17">
        <f t="shared" si="62"/>
        <v>53.523060621171929</v>
      </c>
      <c r="EG100" s="17">
        <f t="shared" si="62"/>
        <v>50.374683747014224</v>
      </c>
      <c r="EH100" s="17">
        <f t="shared" si="62"/>
        <v>47.226307356018836</v>
      </c>
    </row>
    <row r="101" spans="5:138" ht="15.6" x14ac:dyDescent="0.3">
      <c r="E101" s="25"/>
      <c r="F101" s="15">
        <v>0.01</v>
      </c>
      <c r="G101" s="17">
        <f t="shared" si="40"/>
        <v>300</v>
      </c>
      <c r="H101" s="17">
        <f t="shared" si="53"/>
        <v>293.33323995443425</v>
      </c>
      <c r="I101" s="17">
        <f t="shared" si="53"/>
        <v>286.66648093194726</v>
      </c>
      <c r="J101" s="17">
        <f t="shared" si="53"/>
        <v>279.99972394440852</v>
      </c>
      <c r="K101" s="17">
        <f t="shared" si="53"/>
        <v>273.33296998139286</v>
      </c>
      <c r="L101" s="17">
        <f t="shared" si="53"/>
        <v>266.66621999933693</v>
      </c>
      <c r="M101" s="17">
        <f t="shared" si="53"/>
        <v>259.9994749110619</v>
      </c>
      <c r="N101" s="17">
        <f t="shared" si="53"/>
        <v>253.3327355757711</v>
      </c>
      <c r="O101" s="17">
        <f t="shared" si="53"/>
        <v>246.66600278963725</v>
      </c>
      <c r="P101" s="17">
        <f t="shared" si="53"/>
        <v>239.9992772770791</v>
      </c>
      <c r="Q101" s="17">
        <f t="shared" si="54"/>
        <v>233.33255968282447</v>
      </c>
      <c r="R101" s="17">
        <f t="shared" si="54"/>
        <v>226.66585056484666</v>
      </c>
      <c r="S101" s="17">
        <f t="shared" si="54"/>
        <v>219.99915038825128</v>
      </c>
      <c r="T101" s="17">
        <f t="shared" si="54"/>
        <v>213.33245952017992</v>
      </c>
      <c r="U101" s="17">
        <f t="shared" si="54"/>
        <v>206.66577822578836</v>
      </c>
      <c r="V101" s="17">
        <f t="shared" si="54"/>
        <v>199.99910666534103</v>
      </c>
      <c r="W101" s="17">
        <f t="shared" si="54"/>
        <v>193.3324448924551</v>
      </c>
      <c r="X101" s="17">
        <f t="shared" si="54"/>
        <v>186.66579285351338</v>
      </c>
      <c r="Y101" s="17">
        <f t="shared" si="54"/>
        <v>179.99915038825139</v>
      </c>
      <c r="Z101" s="17">
        <f t="shared" si="54"/>
        <v>173.33251723151352</v>
      </c>
      <c r="AA101" s="17">
        <f t="shared" si="54"/>
        <v>166.66589301615795</v>
      </c>
      <c r="AB101" s="17">
        <f t="shared" si="54"/>
        <v>159.99927727707933</v>
      </c>
      <c r="AC101" s="17">
        <f t="shared" si="54"/>
        <v>153.33266945630425</v>
      </c>
      <c r="AD101" s="17">
        <f t="shared" si="54"/>
        <v>146.66606890910478</v>
      </c>
      <c r="AE101" s="17">
        <f t="shared" si="54"/>
        <v>139.99947491106224</v>
      </c>
      <c r="AF101" s="17">
        <f t="shared" si="54"/>
        <v>133.33288666600401</v>
      </c>
      <c r="AG101" s="17">
        <f t="shared" si="54"/>
        <v>126.66630331472646</v>
      </c>
      <c r="AH101" s="17">
        <f t="shared" si="54"/>
        <v>119.99972394440883</v>
      </c>
      <c r="AI101" s="17">
        <f t="shared" si="54"/>
        <v>113.333147598614</v>
      </c>
      <c r="AJ101" s="17">
        <f t="shared" si="54"/>
        <v>106.66657328776763</v>
      </c>
      <c r="AK101" s="17">
        <f t="shared" si="42"/>
        <v>100</v>
      </c>
      <c r="AL101" s="25"/>
      <c r="AM101" s="15">
        <v>0.01</v>
      </c>
      <c r="AN101" s="17">
        <f t="shared" si="59"/>
        <v>-538200000</v>
      </c>
      <c r="AO101" s="17">
        <f t="shared" si="59"/>
        <v>-526239832.47825491</v>
      </c>
      <c r="AP101" s="17">
        <f t="shared" si="59"/>
        <v>-514279666.79191321</v>
      </c>
      <c r="AQ101" s="17">
        <f t="shared" si="59"/>
        <v>-502319504.75626886</v>
      </c>
      <c r="AR101" s="17">
        <f t="shared" si="59"/>
        <v>-490359348.14661872</v>
      </c>
      <c r="AS101" s="17">
        <f t="shared" si="59"/>
        <v>-478399198.67881048</v>
      </c>
      <c r="AT101" s="17">
        <f t="shared" si="59"/>
        <v>-466439057.99044496</v>
      </c>
      <c r="AU101" s="17">
        <f t="shared" si="56"/>
        <v>-454478927.62293327</v>
      </c>
      <c r="AV101" s="17">
        <f t="shared" si="56"/>
        <v>-442518809.00460917</v>
      </c>
      <c r="AW101" s="17">
        <f t="shared" si="56"/>
        <v>-430558703.43507981</v>
      </c>
      <c r="AX101" s="17">
        <f t="shared" si="56"/>
        <v>-418598612.07098699</v>
      </c>
      <c r="AY101" s="17">
        <f t="shared" si="56"/>
        <v>-406638535.91333491</v>
      </c>
      <c r="AZ101" s="17">
        <f t="shared" si="56"/>
        <v>-394678475.79652274</v>
      </c>
      <c r="BA101" s="17">
        <f t="shared" si="56"/>
        <v>-382718432.37920278</v>
      </c>
      <c r="BB101" s="17">
        <f t="shared" si="56"/>
        <v>-370758406.13706434</v>
      </c>
      <c r="BC101" s="17">
        <f t="shared" si="56"/>
        <v>-358798397.35762179</v>
      </c>
      <c r="BD101" s="17">
        <f t="shared" si="56"/>
        <v>-346838406.13706446</v>
      </c>
      <c r="BE101" s="17">
        <f t="shared" si="56"/>
        <v>-334878432.37920296</v>
      </c>
      <c r="BF101" s="17">
        <f t="shared" si="56"/>
        <v>-322918475.79652297</v>
      </c>
      <c r="BG101" s="17">
        <f t="shared" si="56"/>
        <v>-310958535.91333526</v>
      </c>
      <c r="BH101" s="17">
        <f t="shared" si="56"/>
        <v>-298998612.07098734</v>
      </c>
      <c r="BI101" s="17">
        <f t="shared" si="56"/>
        <v>-287038703.43508029</v>
      </c>
      <c r="BJ101" s="17">
        <f t="shared" si="56"/>
        <v>-275078809.00460982</v>
      </c>
      <c r="BK101" s="17">
        <f t="shared" si="60"/>
        <v>-263118927.62293398</v>
      </c>
      <c r="BL101" s="17">
        <f t="shared" si="60"/>
        <v>-251159057.99044564</v>
      </c>
      <c r="BM101" s="17">
        <f t="shared" si="60"/>
        <v>-239199198.67881116</v>
      </c>
      <c r="BN101" s="17">
        <f t="shared" si="60"/>
        <v>-227239348.14661923</v>
      </c>
      <c r="BO101" s="17">
        <f t="shared" si="60"/>
        <v>-215279504.7562694</v>
      </c>
      <c r="BP101" s="17">
        <f t="shared" si="60"/>
        <v>-203319666.79191351</v>
      </c>
      <c r="BQ101" s="17">
        <f t="shared" si="60"/>
        <v>-191359832.47825512</v>
      </c>
      <c r="BR101" s="17">
        <f t="shared" si="60"/>
        <v>-179400000</v>
      </c>
      <c r="BS101" s="7"/>
      <c r="BT101" s="25"/>
      <c r="BU101" s="15">
        <v>0.01</v>
      </c>
      <c r="BV101" s="17">
        <f t="shared" si="57"/>
        <v>0.53844982244061979</v>
      </c>
      <c r="BW101" s="17">
        <f t="shared" si="57"/>
        <v>0.53844982244061979</v>
      </c>
      <c r="BX101" s="17">
        <f t="shared" si="57"/>
        <v>0.53844982244061979</v>
      </c>
      <c r="BY101" s="17">
        <f t="shared" si="57"/>
        <v>0.53844982244061979</v>
      </c>
      <c r="BZ101" s="17">
        <f t="shared" si="57"/>
        <v>0.53844982244061979</v>
      </c>
      <c r="CA101" s="17">
        <f t="shared" si="57"/>
        <v>0.53844982244061979</v>
      </c>
      <c r="CB101" s="17">
        <f t="shared" si="57"/>
        <v>0.53844982244061979</v>
      </c>
      <c r="CC101" s="17">
        <f t="shared" si="57"/>
        <v>0.53844982244061979</v>
      </c>
      <c r="CD101" s="17">
        <f t="shared" si="57"/>
        <v>0.53844982244061979</v>
      </c>
      <c r="CE101" s="17">
        <f t="shared" si="57"/>
        <v>0.53844982244061979</v>
      </c>
      <c r="CF101" s="17">
        <f t="shared" si="57"/>
        <v>0.53844982244061979</v>
      </c>
      <c r="CG101" s="17">
        <f t="shared" si="57"/>
        <v>0.53844982244061979</v>
      </c>
      <c r="CH101" s="17">
        <f t="shared" si="57"/>
        <v>0.53844982244061979</v>
      </c>
      <c r="CI101" s="17">
        <f t="shared" si="57"/>
        <v>0.53844982244061979</v>
      </c>
      <c r="CJ101" s="17">
        <f t="shared" si="57"/>
        <v>0.53844982244061979</v>
      </c>
      <c r="CK101" s="17">
        <f t="shared" si="55"/>
        <v>0.53844982244061979</v>
      </c>
      <c r="CL101" s="17">
        <f t="shared" si="50"/>
        <v>0.53844982244061979</v>
      </c>
      <c r="CM101" s="17">
        <f t="shared" si="50"/>
        <v>0.53844982244061979</v>
      </c>
      <c r="CN101" s="17">
        <f t="shared" si="50"/>
        <v>0.53844982244061979</v>
      </c>
      <c r="CO101" s="17">
        <f t="shared" si="50"/>
        <v>0.53844982244061979</v>
      </c>
      <c r="CP101" s="17">
        <f t="shared" si="50"/>
        <v>0.53844982244061979</v>
      </c>
      <c r="CQ101" s="17">
        <f t="shared" si="50"/>
        <v>0.53844982244061979</v>
      </c>
      <c r="CR101" s="17">
        <f t="shared" si="50"/>
        <v>0.53844982244061979</v>
      </c>
      <c r="CS101" s="17">
        <f t="shared" si="50"/>
        <v>0.53844982244061979</v>
      </c>
      <c r="CT101" s="17">
        <f t="shared" si="50"/>
        <v>0.53844982244061979</v>
      </c>
      <c r="CU101" s="17">
        <f t="shared" si="48"/>
        <v>0.53844982244061979</v>
      </c>
      <c r="CV101" s="17">
        <f t="shared" si="48"/>
        <v>0.53844982244061979</v>
      </c>
      <c r="CW101" s="17">
        <f t="shared" si="48"/>
        <v>0.53844982244061979</v>
      </c>
      <c r="CX101" s="17">
        <f t="shared" si="48"/>
        <v>0.53844982244061979</v>
      </c>
      <c r="CY101" s="17">
        <f t="shared" si="48"/>
        <v>0.53844982244061979</v>
      </c>
      <c r="CZ101" s="17">
        <f t="shared" si="48"/>
        <v>0.53844982244061979</v>
      </c>
      <c r="DA101" s="7"/>
      <c r="DB101" s="25"/>
      <c r="DC101" s="15">
        <v>0.01</v>
      </c>
      <c r="DD101" s="17">
        <f t="shared" si="61"/>
        <v>138.46505326781406</v>
      </c>
      <c r="DE101" s="17">
        <f t="shared" si="61"/>
        <v>135.38800898503737</v>
      </c>
      <c r="DF101" s="17">
        <f t="shared" si="61"/>
        <v>132.31096517446292</v>
      </c>
      <c r="DG101" s="17">
        <f t="shared" si="61"/>
        <v>129.23392230311919</v>
      </c>
      <c r="DH101" s="17">
        <f t="shared" si="61"/>
        <v>126.1568808277446</v>
      </c>
      <c r="DI101" s="17">
        <f t="shared" si="61"/>
        <v>123.07984118978271</v>
      </c>
      <c r="DJ101" s="17">
        <f t="shared" si="61"/>
        <v>120.00280381054621</v>
      </c>
      <c r="DK101" s="17">
        <f t="shared" si="58"/>
        <v>116.92576908660065</v>
      </c>
      <c r="DL101" s="17">
        <f t="shared" si="58"/>
        <v>113.84873738541964</v>
      </c>
      <c r="DM101" s="17">
        <f t="shared" si="58"/>
        <v>110.77170904135876</v>
      </c>
      <c r="DN101" s="17">
        <f t="shared" si="58"/>
        <v>107.69468435199229</v>
      </c>
      <c r="DO101" s="17">
        <f t="shared" si="58"/>
        <v>104.61766357485293</v>
      </c>
      <c r="DP101" s="17">
        <f t="shared" si="58"/>
        <v>101.54064692461016</v>
      </c>
      <c r="DQ101" s="17">
        <f t="shared" si="58"/>
        <v>98.463634570718341</v>
      </c>
      <c r="DR101" s="17">
        <f t="shared" si="58"/>
        <v>95.386626635560106</v>
      </c>
      <c r="DS101" s="17">
        <f t="shared" si="58"/>
        <v>92.309623193105566</v>
      </c>
      <c r="DT101" s="17">
        <f t="shared" si="51"/>
        <v>89.232624268101745</v>
      </c>
      <c r="DU101" s="17">
        <f t="shared" si="51"/>
        <v>86.155629835801577</v>
      </c>
      <c r="DV101" s="17">
        <f t="shared" si="51"/>
        <v>83.078639822235019</v>
      </c>
      <c r="DW101" s="17">
        <f t="shared" si="51"/>
        <v>80.001654105019398</v>
      </c>
      <c r="DX101" s="17">
        <f t="shared" si="62"/>
        <v>76.924672514700362</v>
      </c>
      <c r="DY101" s="17">
        <f t="shared" si="62"/>
        <v>73.847694836608454</v>
      </c>
      <c r="DZ101" s="17">
        <f t="shared" si="62"/>
        <v>70.770720813210986</v>
      </c>
      <c r="EA101" s="17">
        <f t="shared" si="62"/>
        <v>67.693750146933596</v>
      </c>
      <c r="EB101" s="17">
        <f t="shared" si="62"/>
        <v>64.616782503420765</v>
      </c>
      <c r="EC101" s="17">
        <f t="shared" si="62"/>
        <v>61.539817515198862</v>
      </c>
      <c r="ED101" s="17">
        <f t="shared" si="62"/>
        <v>58.462854785702305</v>
      </c>
      <c r="EE101" s="17">
        <f t="shared" si="62"/>
        <v>55.385893893618501</v>
      </c>
      <c r="EF101" s="17">
        <f t="shared" si="62"/>
        <v>52.308934397503734</v>
      </c>
      <c r="EG101" s="17">
        <f t="shared" si="62"/>
        <v>49.231975840619796</v>
      </c>
      <c r="EH101" s="17">
        <f t="shared" si="62"/>
        <v>46.155017755938026</v>
      </c>
    </row>
    <row r="102" spans="5:138" ht="15.6" x14ac:dyDescent="0.3">
      <c r="E102" s="25"/>
      <c r="F102" s="15">
        <v>6.6666666666666671E-3</v>
      </c>
      <c r="G102" s="17">
        <f t="shared" si="40"/>
        <v>300</v>
      </c>
      <c r="H102" s="17">
        <f t="shared" si="53"/>
        <v>293.33323995443425</v>
      </c>
      <c r="I102" s="17">
        <f t="shared" si="53"/>
        <v>286.66648093194726</v>
      </c>
      <c r="J102" s="17">
        <f t="shared" si="53"/>
        <v>279.99972394440852</v>
      </c>
      <c r="K102" s="17">
        <f t="shared" si="53"/>
        <v>273.33296998139286</v>
      </c>
      <c r="L102" s="17">
        <f t="shared" si="53"/>
        <v>266.66621999933693</v>
      </c>
      <c r="M102" s="17">
        <f t="shared" si="53"/>
        <v>259.99947491106184</v>
      </c>
      <c r="N102" s="17">
        <f t="shared" si="53"/>
        <v>253.3327355757711</v>
      </c>
      <c r="O102" s="17">
        <f t="shared" si="53"/>
        <v>246.66600278963722</v>
      </c>
      <c r="P102" s="17">
        <f t="shared" si="53"/>
        <v>239.9992772770791</v>
      </c>
      <c r="Q102" s="17">
        <f t="shared" si="54"/>
        <v>233.33255968282447</v>
      </c>
      <c r="R102" s="17">
        <f t="shared" si="54"/>
        <v>226.66585056484666</v>
      </c>
      <c r="S102" s="17">
        <f t="shared" si="54"/>
        <v>219.99915038825128</v>
      </c>
      <c r="T102" s="17">
        <f t="shared" si="54"/>
        <v>213.33245952017992</v>
      </c>
      <c r="U102" s="17">
        <f t="shared" si="54"/>
        <v>206.66577822578839</v>
      </c>
      <c r="V102" s="17">
        <f t="shared" si="54"/>
        <v>199.999106665341</v>
      </c>
      <c r="W102" s="17">
        <f t="shared" si="54"/>
        <v>193.3324448924551</v>
      </c>
      <c r="X102" s="17">
        <f t="shared" si="54"/>
        <v>186.66579285351338</v>
      </c>
      <c r="Y102" s="17">
        <f t="shared" si="54"/>
        <v>179.99915038825139</v>
      </c>
      <c r="Z102" s="17">
        <f t="shared" si="54"/>
        <v>173.33251723151352</v>
      </c>
      <c r="AA102" s="17">
        <f t="shared" si="54"/>
        <v>166.66589301615795</v>
      </c>
      <c r="AB102" s="17">
        <f t="shared" si="54"/>
        <v>159.99927727707933</v>
      </c>
      <c r="AC102" s="17">
        <f t="shared" si="54"/>
        <v>153.33266945630425</v>
      </c>
      <c r="AD102" s="17">
        <f t="shared" si="54"/>
        <v>146.66606890910478</v>
      </c>
      <c r="AE102" s="17">
        <f t="shared" si="54"/>
        <v>139.99947491106224</v>
      </c>
      <c r="AF102" s="17">
        <f t="shared" si="54"/>
        <v>133.33288666600401</v>
      </c>
      <c r="AG102" s="17">
        <f t="shared" si="54"/>
        <v>126.66630331472645</v>
      </c>
      <c r="AH102" s="17">
        <f t="shared" si="54"/>
        <v>119.99972394440883</v>
      </c>
      <c r="AI102" s="17">
        <f t="shared" si="54"/>
        <v>113.333147598614</v>
      </c>
      <c r="AJ102" s="17">
        <f t="shared" si="54"/>
        <v>106.66657328776763</v>
      </c>
      <c r="AK102" s="17">
        <f t="shared" si="42"/>
        <v>100</v>
      </c>
      <c r="AL102" s="25"/>
      <c r="AM102" s="15">
        <v>6.6666666666666671E-3</v>
      </c>
      <c r="AN102" s="17">
        <f t="shared" si="59"/>
        <v>-538200000</v>
      </c>
      <c r="AO102" s="17">
        <f t="shared" si="59"/>
        <v>-526239832.47825491</v>
      </c>
      <c r="AP102" s="17">
        <f t="shared" si="59"/>
        <v>-514279666.79191321</v>
      </c>
      <c r="AQ102" s="17">
        <f t="shared" si="59"/>
        <v>-502319504.75626886</v>
      </c>
      <c r="AR102" s="17">
        <f t="shared" si="59"/>
        <v>-490359348.14661872</v>
      </c>
      <c r="AS102" s="17">
        <f t="shared" si="59"/>
        <v>-478399198.67881048</v>
      </c>
      <c r="AT102" s="17">
        <f t="shared" si="59"/>
        <v>-466439057.99044496</v>
      </c>
      <c r="AU102" s="17">
        <f t="shared" si="56"/>
        <v>-454478927.62293327</v>
      </c>
      <c r="AV102" s="17">
        <f t="shared" si="56"/>
        <v>-442518809.00460917</v>
      </c>
      <c r="AW102" s="17">
        <f t="shared" si="56"/>
        <v>-430558703.43507981</v>
      </c>
      <c r="AX102" s="17">
        <f t="shared" si="56"/>
        <v>-418598612.07098699</v>
      </c>
      <c r="AY102" s="17">
        <f t="shared" si="56"/>
        <v>-406638535.91333491</v>
      </c>
      <c r="AZ102" s="17">
        <f t="shared" si="56"/>
        <v>-394678475.79652274</v>
      </c>
      <c r="BA102" s="17">
        <f t="shared" si="56"/>
        <v>-382718432.37920278</v>
      </c>
      <c r="BB102" s="17">
        <f t="shared" si="56"/>
        <v>-370758406.13706434</v>
      </c>
      <c r="BC102" s="17">
        <f t="shared" si="56"/>
        <v>-358798397.35762179</v>
      </c>
      <c r="BD102" s="17">
        <f t="shared" si="56"/>
        <v>-346838406.13706446</v>
      </c>
      <c r="BE102" s="17">
        <f t="shared" si="56"/>
        <v>-334878432.37920296</v>
      </c>
      <c r="BF102" s="17">
        <f t="shared" si="56"/>
        <v>-322918475.79652297</v>
      </c>
      <c r="BG102" s="17">
        <f t="shared" si="56"/>
        <v>-310958535.91333526</v>
      </c>
      <c r="BH102" s="17">
        <f t="shared" si="56"/>
        <v>-298998612.07098734</v>
      </c>
      <c r="BI102" s="17">
        <f t="shared" si="56"/>
        <v>-287038703.43508029</v>
      </c>
      <c r="BJ102" s="17">
        <f t="shared" si="56"/>
        <v>-275078809.00460982</v>
      </c>
      <c r="BK102" s="17">
        <f t="shared" si="60"/>
        <v>-263118927.62293398</v>
      </c>
      <c r="BL102" s="17">
        <f t="shared" si="60"/>
        <v>-251159057.99044564</v>
      </c>
      <c r="BM102" s="17">
        <f t="shared" si="60"/>
        <v>-239199198.67881116</v>
      </c>
      <c r="BN102" s="17">
        <f t="shared" si="60"/>
        <v>-227239348.14661923</v>
      </c>
      <c r="BO102" s="17">
        <f t="shared" si="60"/>
        <v>-215279504.7562694</v>
      </c>
      <c r="BP102" s="17">
        <f t="shared" si="60"/>
        <v>-203319666.79191351</v>
      </c>
      <c r="BQ102" s="17">
        <f t="shared" si="60"/>
        <v>-191359832.47825512</v>
      </c>
      <c r="BR102" s="17">
        <f t="shared" si="60"/>
        <v>-179400000</v>
      </c>
      <c r="BS102" s="7"/>
      <c r="BT102" s="25"/>
      <c r="BU102" s="15">
        <v>6.6666666666666671E-3</v>
      </c>
      <c r="BV102" s="17">
        <f t="shared" si="57"/>
        <v>0.5761500669941938</v>
      </c>
      <c r="BW102" s="17">
        <f t="shared" si="57"/>
        <v>0.5761500669941938</v>
      </c>
      <c r="BX102" s="17">
        <f t="shared" si="57"/>
        <v>0.5761500669941938</v>
      </c>
      <c r="BY102" s="17">
        <f t="shared" si="57"/>
        <v>0.5761500669941938</v>
      </c>
      <c r="BZ102" s="17">
        <f t="shared" si="57"/>
        <v>0.5761500669941938</v>
      </c>
      <c r="CA102" s="17">
        <f t="shared" si="57"/>
        <v>0.5761500669941938</v>
      </c>
      <c r="CB102" s="17">
        <f t="shared" si="57"/>
        <v>0.5761500669941938</v>
      </c>
      <c r="CC102" s="17">
        <f t="shared" si="57"/>
        <v>0.5761500669941938</v>
      </c>
      <c r="CD102" s="17">
        <f t="shared" si="57"/>
        <v>0.5761500669941938</v>
      </c>
      <c r="CE102" s="17">
        <f t="shared" si="57"/>
        <v>0.5761500669941938</v>
      </c>
      <c r="CF102" s="17">
        <f t="shared" si="57"/>
        <v>0.5761500669941938</v>
      </c>
      <c r="CG102" s="17">
        <f t="shared" si="57"/>
        <v>0.5761500669941938</v>
      </c>
      <c r="CH102" s="17">
        <f t="shared" si="57"/>
        <v>0.5761500669941938</v>
      </c>
      <c r="CI102" s="17">
        <f t="shared" si="57"/>
        <v>0.5761500669941938</v>
      </c>
      <c r="CJ102" s="17">
        <f t="shared" si="57"/>
        <v>0.5761500669941938</v>
      </c>
      <c r="CK102" s="17">
        <f t="shared" si="55"/>
        <v>0.5761500669941938</v>
      </c>
      <c r="CL102" s="17">
        <f t="shared" si="50"/>
        <v>0.5761500669941938</v>
      </c>
      <c r="CM102" s="17">
        <f t="shared" si="50"/>
        <v>0.5761500669941938</v>
      </c>
      <c r="CN102" s="17">
        <f t="shared" si="50"/>
        <v>0.5761500669941938</v>
      </c>
      <c r="CO102" s="17">
        <f t="shared" si="50"/>
        <v>0.5761500669941938</v>
      </c>
      <c r="CP102" s="17">
        <f t="shared" si="50"/>
        <v>0.5761500669941938</v>
      </c>
      <c r="CQ102" s="17">
        <f t="shared" si="50"/>
        <v>0.5761500669941938</v>
      </c>
      <c r="CR102" s="17">
        <f t="shared" si="50"/>
        <v>0.5761500669941938</v>
      </c>
      <c r="CS102" s="17">
        <f t="shared" si="50"/>
        <v>0.5761500669941938</v>
      </c>
      <c r="CT102" s="17">
        <f t="shared" si="50"/>
        <v>0.5761500669941938</v>
      </c>
      <c r="CU102" s="17">
        <f t="shared" si="48"/>
        <v>0.5761500669941938</v>
      </c>
      <c r="CV102" s="17">
        <f t="shared" si="48"/>
        <v>0.5761500669941938</v>
      </c>
      <c r="CW102" s="17">
        <f t="shared" si="48"/>
        <v>0.5761500669941938</v>
      </c>
      <c r="CX102" s="17">
        <f t="shared" si="48"/>
        <v>0.5761500669941938</v>
      </c>
      <c r="CY102" s="17">
        <f t="shared" si="48"/>
        <v>0.5761500669941938</v>
      </c>
      <c r="CZ102" s="17">
        <f t="shared" si="48"/>
        <v>0.5761500669941938</v>
      </c>
      <c r="DA102" s="7"/>
      <c r="DB102" s="25"/>
      <c r="DC102" s="15">
        <v>6.6666666666666671E-3</v>
      </c>
      <c r="DD102" s="17">
        <f t="shared" si="61"/>
        <v>127.15497990174188</v>
      </c>
      <c r="DE102" s="17">
        <f t="shared" si="61"/>
        <v>124.329274103063</v>
      </c>
      <c r="DF102" s="17">
        <f t="shared" si="61"/>
        <v>121.50356873801604</v>
      </c>
      <c r="DG102" s="17">
        <f t="shared" si="61"/>
        <v>118.67786423548179</v>
      </c>
      <c r="DH102" s="17">
        <f t="shared" si="61"/>
        <v>115.85216101489139</v>
      </c>
      <c r="DI102" s="17">
        <f t="shared" si="61"/>
        <v>113.02645948163055</v>
      </c>
      <c r="DJ102" s="17">
        <f t="shared" si="61"/>
        <v>110.20076002259835</v>
      </c>
      <c r="DK102" s="17">
        <f t="shared" si="58"/>
        <v>107.37506300196819</v>
      </c>
      <c r="DL102" s="17">
        <f t="shared" si="58"/>
        <v>104.54936875719774</v>
      </c>
      <c r="DM102" s="17">
        <f t="shared" si="58"/>
        <v>101.72367759533186</v>
      </c>
      <c r="DN102" s="17">
        <f t="shared" si="58"/>
        <v>98.897989789638416</v>
      </c>
      <c r="DO102" s="17">
        <f t="shared" si="58"/>
        <v>96.07230557661434</v>
      </c>
      <c r="DP102" s="17">
        <f t="shared" si="58"/>
        <v>93.246625153394575</v>
      </c>
      <c r="DQ102" s="17">
        <f t="shared" si="58"/>
        <v>90.420948675592129</v>
      </c>
      <c r="DR102" s="17">
        <f t="shared" si="58"/>
        <v>87.59527625559322</v>
      </c>
      <c r="DS102" s="17">
        <f t="shared" si="58"/>
        <v>84.769607961325875</v>
      </c>
      <c r="DT102" s="17">
        <f t="shared" si="51"/>
        <v>81.943943815515823</v>
      </c>
      <c r="DU102" s="17">
        <f t="shared" si="51"/>
        <v>79.118283795437335</v>
      </c>
      <c r="DV102" s="17">
        <f t="shared" si="51"/>
        <v>76.292627833162385</v>
      </c>
      <c r="DW102" s="17">
        <f t="shared" si="51"/>
        <v>73.466975816304753</v>
      </c>
      <c r="DX102" s="17">
        <f t="shared" si="62"/>
        <v>70.641327589251418</v>
      </c>
      <c r="DY102" s="17">
        <f t="shared" si="62"/>
        <v>67.815682954867484</v>
      </c>
      <c r="DZ102" s="17">
        <f t="shared" si="62"/>
        <v>64.990041676655991</v>
      </c>
      <c r="EA102" s="17">
        <f t="shared" si="62"/>
        <v>62.164403481349012</v>
      </c>
      <c r="EB102" s="17">
        <f t="shared" si="62"/>
        <v>59.338768061901774</v>
      </c>
      <c r="EC102" s="17">
        <f t="shared" si="62"/>
        <v>56.51313508085655</v>
      </c>
      <c r="ED102" s="17">
        <f t="shared" si="62"/>
        <v>53.68750417403993</v>
      </c>
      <c r="EE102" s="17">
        <f t="shared" si="62"/>
        <v>50.861874954552917</v>
      </c>
      <c r="EF102" s="17">
        <f t="shared" si="62"/>
        <v>48.036247017009686</v>
      </c>
      <c r="EG102" s="17">
        <f t="shared" si="62"/>
        <v>45.210619941979232</v>
      </c>
      <c r="EH102" s="17">
        <f t="shared" si="62"/>
        <v>42.384993300580625</v>
      </c>
    </row>
    <row r="103" spans="5:138" ht="15.6" x14ac:dyDescent="0.3">
      <c r="E103" s="25"/>
      <c r="F103" s="15">
        <v>3.3333333333333335E-3</v>
      </c>
      <c r="G103" s="17">
        <f t="shared" si="40"/>
        <v>300</v>
      </c>
      <c r="H103" s="17">
        <f t="shared" si="53"/>
        <v>293.33323995443419</v>
      </c>
      <c r="I103" s="17">
        <f t="shared" si="53"/>
        <v>286.66648093194721</v>
      </c>
      <c r="J103" s="17">
        <f t="shared" si="53"/>
        <v>279.99972394440852</v>
      </c>
      <c r="K103" s="17">
        <f t="shared" si="53"/>
        <v>273.33296998139281</v>
      </c>
      <c r="L103" s="17">
        <f t="shared" si="53"/>
        <v>266.66621999933693</v>
      </c>
      <c r="M103" s="17">
        <f t="shared" si="53"/>
        <v>259.99947491106184</v>
      </c>
      <c r="N103" s="17">
        <f t="shared" si="53"/>
        <v>253.33273557577104</v>
      </c>
      <c r="O103" s="17">
        <f t="shared" si="53"/>
        <v>246.66600278963719</v>
      </c>
      <c r="P103" s="17">
        <f t="shared" si="53"/>
        <v>239.99927727707905</v>
      </c>
      <c r="Q103" s="17">
        <f t="shared" si="54"/>
        <v>233.33255968282444</v>
      </c>
      <c r="R103" s="17">
        <f t="shared" si="54"/>
        <v>226.66585056484664</v>
      </c>
      <c r="S103" s="17">
        <f t="shared" si="54"/>
        <v>219.99915038825122</v>
      </c>
      <c r="T103" s="17">
        <f t="shared" si="54"/>
        <v>213.3324595201799</v>
      </c>
      <c r="U103" s="17">
        <f t="shared" si="54"/>
        <v>206.66577822578839</v>
      </c>
      <c r="V103" s="17">
        <f t="shared" si="54"/>
        <v>199.999106665341</v>
      </c>
      <c r="W103" s="17">
        <f t="shared" si="54"/>
        <v>193.33244489245507</v>
      </c>
      <c r="X103" s="17">
        <f t="shared" si="54"/>
        <v>186.66579285351338</v>
      </c>
      <c r="Y103" s="17">
        <f t="shared" si="54"/>
        <v>179.99915038825139</v>
      </c>
      <c r="Z103" s="17">
        <f t="shared" si="54"/>
        <v>173.33251723151352</v>
      </c>
      <c r="AA103" s="17">
        <f t="shared" si="54"/>
        <v>166.66589301615795</v>
      </c>
      <c r="AB103" s="17">
        <f t="shared" si="54"/>
        <v>159.9992772770793</v>
      </c>
      <c r="AC103" s="17">
        <f t="shared" si="54"/>
        <v>153.33266945630425</v>
      </c>
      <c r="AD103" s="17">
        <f t="shared" si="54"/>
        <v>146.66606890910475</v>
      </c>
      <c r="AE103" s="17">
        <f t="shared" si="54"/>
        <v>139.99947491106224</v>
      </c>
      <c r="AF103" s="17">
        <f t="shared" si="54"/>
        <v>133.33288666600399</v>
      </c>
      <c r="AG103" s="17">
        <f t="shared" si="54"/>
        <v>126.66630331472643</v>
      </c>
      <c r="AH103" s="17">
        <f t="shared" si="54"/>
        <v>119.9997239444088</v>
      </c>
      <c r="AI103" s="17">
        <f t="shared" si="54"/>
        <v>113.33314759861399</v>
      </c>
      <c r="AJ103" s="17">
        <f t="shared" si="54"/>
        <v>106.66657328776762</v>
      </c>
      <c r="AK103" s="17">
        <f t="shared" si="42"/>
        <v>100</v>
      </c>
      <c r="AL103" s="25"/>
      <c r="AM103" s="15">
        <v>3.3333333333333335E-3</v>
      </c>
      <c r="AN103" s="17">
        <f t="shared" si="59"/>
        <v>-538200000</v>
      </c>
      <c r="AO103" s="17">
        <f t="shared" si="59"/>
        <v>-526239832.47825491</v>
      </c>
      <c r="AP103" s="17">
        <f t="shared" si="59"/>
        <v>-514279666.79191321</v>
      </c>
      <c r="AQ103" s="17">
        <f t="shared" si="59"/>
        <v>-502319504.75626886</v>
      </c>
      <c r="AR103" s="17">
        <f t="shared" si="59"/>
        <v>-490359348.14661872</v>
      </c>
      <c r="AS103" s="17">
        <f t="shared" si="59"/>
        <v>-478399198.67881048</v>
      </c>
      <c r="AT103" s="17">
        <f t="shared" si="59"/>
        <v>-466439057.99044484</v>
      </c>
      <c r="AU103" s="17">
        <f t="shared" si="56"/>
        <v>-454478927.62293321</v>
      </c>
      <c r="AV103" s="17">
        <f t="shared" si="56"/>
        <v>-442518809.00460905</v>
      </c>
      <c r="AW103" s="17">
        <f t="shared" si="56"/>
        <v>-430558703.43507981</v>
      </c>
      <c r="AX103" s="17">
        <f t="shared" si="56"/>
        <v>-418598612.07098699</v>
      </c>
      <c r="AY103" s="17">
        <f t="shared" si="56"/>
        <v>-406638535.91333485</v>
      </c>
      <c r="AZ103" s="17">
        <f t="shared" si="56"/>
        <v>-394678475.79652268</v>
      </c>
      <c r="BA103" s="17">
        <f t="shared" si="56"/>
        <v>-382718432.37920272</v>
      </c>
      <c r="BB103" s="17">
        <f t="shared" si="56"/>
        <v>-370758406.13706434</v>
      </c>
      <c r="BC103" s="17">
        <f t="shared" si="56"/>
        <v>-358798397.35762179</v>
      </c>
      <c r="BD103" s="17">
        <f t="shared" si="56"/>
        <v>-346838406.13706446</v>
      </c>
      <c r="BE103" s="17">
        <f t="shared" si="56"/>
        <v>-334878432.37920296</v>
      </c>
      <c r="BF103" s="17">
        <f t="shared" si="56"/>
        <v>-322918475.79652297</v>
      </c>
      <c r="BG103" s="17">
        <f t="shared" si="56"/>
        <v>-310958535.91333526</v>
      </c>
      <c r="BH103" s="17">
        <f t="shared" si="56"/>
        <v>-298998612.07098734</v>
      </c>
      <c r="BI103" s="17">
        <f t="shared" si="56"/>
        <v>-287038703.43508029</v>
      </c>
      <c r="BJ103" s="17">
        <f t="shared" si="56"/>
        <v>-275078809.00460982</v>
      </c>
      <c r="BK103" s="17">
        <f t="shared" si="60"/>
        <v>-263118927.62293392</v>
      </c>
      <c r="BL103" s="17">
        <f t="shared" si="60"/>
        <v>-251159057.99044561</v>
      </c>
      <c r="BM103" s="17">
        <f t="shared" si="60"/>
        <v>-239199198.6788111</v>
      </c>
      <c r="BN103" s="17">
        <f t="shared" si="60"/>
        <v>-227239348.1466192</v>
      </c>
      <c r="BO103" s="17">
        <f t="shared" si="60"/>
        <v>-215279504.75626937</v>
      </c>
      <c r="BP103" s="17">
        <f t="shared" si="60"/>
        <v>-203319666.79191348</v>
      </c>
      <c r="BQ103" s="17">
        <f t="shared" si="60"/>
        <v>-191359832.47825509</v>
      </c>
      <c r="BR103" s="17">
        <f t="shared" si="60"/>
        <v>-179400000</v>
      </c>
      <c r="BS103" s="7"/>
      <c r="BT103" s="25"/>
      <c r="BU103" s="15">
        <v>3.3333333333333335E-3</v>
      </c>
      <c r="BV103" s="17">
        <f t="shared" si="57"/>
        <v>0.69767441860465107</v>
      </c>
      <c r="BW103" s="17">
        <f t="shared" si="57"/>
        <v>0.69767441860465107</v>
      </c>
      <c r="BX103" s="17">
        <f t="shared" si="57"/>
        <v>0.69767441860465107</v>
      </c>
      <c r="BY103" s="17">
        <f t="shared" si="57"/>
        <v>0.69767441860465107</v>
      </c>
      <c r="BZ103" s="17">
        <f t="shared" si="57"/>
        <v>0.69767441860465107</v>
      </c>
      <c r="CA103" s="17">
        <f t="shared" si="57"/>
        <v>0.69767441860465107</v>
      </c>
      <c r="CB103" s="17">
        <f t="shared" si="57"/>
        <v>0.69767441860465107</v>
      </c>
      <c r="CC103" s="17">
        <f t="shared" si="57"/>
        <v>0.69767441860465107</v>
      </c>
      <c r="CD103" s="17">
        <f t="shared" si="57"/>
        <v>0.69767441860465107</v>
      </c>
      <c r="CE103" s="17">
        <f t="shared" si="57"/>
        <v>0.69767441860465107</v>
      </c>
      <c r="CF103" s="17">
        <f t="shared" si="57"/>
        <v>0.69767441860465107</v>
      </c>
      <c r="CG103" s="17">
        <f t="shared" si="57"/>
        <v>0.69767441860465107</v>
      </c>
      <c r="CH103" s="17">
        <f t="shared" si="57"/>
        <v>0.69767441860465107</v>
      </c>
      <c r="CI103" s="17">
        <f t="shared" si="57"/>
        <v>0.69767441860465107</v>
      </c>
      <c r="CJ103" s="17">
        <f t="shared" si="57"/>
        <v>0.69767441860465107</v>
      </c>
      <c r="CK103" s="17">
        <f t="shared" si="55"/>
        <v>0.69767441860465107</v>
      </c>
      <c r="CL103" s="17">
        <f t="shared" si="50"/>
        <v>0.69767441860465107</v>
      </c>
      <c r="CM103" s="17">
        <f t="shared" si="50"/>
        <v>0.69767441860465107</v>
      </c>
      <c r="CN103" s="17">
        <f t="shared" si="50"/>
        <v>0.69767441860465107</v>
      </c>
      <c r="CO103" s="17">
        <f t="shared" si="50"/>
        <v>0.69767441860465107</v>
      </c>
      <c r="CP103" s="17">
        <f t="shared" si="50"/>
        <v>0.69767441860465107</v>
      </c>
      <c r="CQ103" s="17">
        <f t="shared" si="50"/>
        <v>0.69767441860465107</v>
      </c>
      <c r="CR103" s="17">
        <f t="shared" si="50"/>
        <v>0.69767441860465107</v>
      </c>
      <c r="CS103" s="17">
        <f t="shared" si="50"/>
        <v>0.69767441860465107</v>
      </c>
      <c r="CT103" s="17">
        <f t="shared" si="50"/>
        <v>0.69767441860465107</v>
      </c>
      <c r="CU103" s="17">
        <f t="shared" si="48"/>
        <v>0.69767441860465107</v>
      </c>
      <c r="CV103" s="17">
        <f t="shared" si="48"/>
        <v>0.69767441860465107</v>
      </c>
      <c r="CW103" s="17">
        <f t="shared" si="48"/>
        <v>0.69767441860465107</v>
      </c>
      <c r="CX103" s="17">
        <f t="shared" si="48"/>
        <v>0.69767441860465107</v>
      </c>
      <c r="CY103" s="17">
        <f t="shared" si="48"/>
        <v>0.69767441860465107</v>
      </c>
      <c r="CZ103" s="17">
        <f t="shared" si="48"/>
        <v>0.69767441860465107</v>
      </c>
      <c r="DA103" s="7"/>
      <c r="DB103" s="25"/>
      <c r="DC103" s="15">
        <v>3.3333333333333335E-3</v>
      </c>
      <c r="DD103" s="17">
        <f t="shared" si="61"/>
        <v>90.697674418604663</v>
      </c>
      <c r="DE103" s="17">
        <f t="shared" si="61"/>
        <v>88.682142311805691</v>
      </c>
      <c r="DF103" s="17">
        <f t="shared" si="61"/>
        <v>86.666610514309625</v>
      </c>
      <c r="DG103" s="17">
        <f t="shared" si="61"/>
        <v>84.651079332030491</v>
      </c>
      <c r="DH103" s="17">
        <f t="shared" si="61"/>
        <v>82.635549064142026</v>
      </c>
      <c r="DI103" s="17">
        <f t="shared" si="61"/>
        <v>80.620019999799553</v>
      </c>
      <c r="DJ103" s="17">
        <f t="shared" si="61"/>
        <v>78.604492414972185</v>
      </c>
      <c r="DK103" s="17">
        <f t="shared" si="58"/>
        <v>76.588966569419156</v>
      </c>
      <c r="DL103" s="17">
        <f t="shared" si="58"/>
        <v>74.573442703843796</v>
      </c>
      <c r="DM103" s="17">
        <f t="shared" si="58"/>
        <v>72.557921037256463</v>
      </c>
      <c r="DN103" s="17">
        <f t="shared" si="58"/>
        <v>70.542401764574834</v>
      </c>
      <c r="DO103" s="17">
        <f t="shared" si="58"/>
        <v>68.526885054488531</v>
      </c>
      <c r="DP103" s="17">
        <f t="shared" si="58"/>
        <v>66.511371047610837</v>
      </c>
      <c r="DQ103" s="17">
        <f t="shared" si="58"/>
        <v>64.495859854938118</v>
      </c>
      <c r="DR103" s="17">
        <f t="shared" si="58"/>
        <v>62.480351556633707</v>
      </c>
      <c r="DS103" s="17">
        <f t="shared" si="58"/>
        <v>60.464846201149619</v>
      </c>
      <c r="DT103" s="17">
        <f t="shared" si="51"/>
        <v>58.449343804695737</v>
      </c>
      <c r="DU103" s="17">
        <f t="shared" si="51"/>
        <v>56.433844351062184</v>
      </c>
      <c r="DV103" s="17">
        <f t="shared" si="51"/>
        <v>54.41834779179694</v>
      </c>
      <c r="DW103" s="17">
        <f t="shared" si="51"/>
        <v>52.402854046736657</v>
      </c>
      <c r="DX103" s="17">
        <f t="shared" si="62"/>
        <v>50.387363004884968</v>
      </c>
      <c r="DY103" s="17">
        <f t="shared" si="62"/>
        <v>48.371874525628634</v>
      </c>
      <c r="DZ103" s="17">
        <f t="shared" si="62"/>
        <v>46.356388440278039</v>
      </c>
      <c r="EA103" s="17">
        <f t="shared" si="62"/>
        <v>44.340904553915394</v>
      </c>
      <c r="EB103" s="17">
        <f t="shared" si="62"/>
        <v>42.325422647530445</v>
      </c>
      <c r="EC103" s="17">
        <f t="shared" si="62"/>
        <v>40.309942480419807</v>
      </c>
      <c r="ED103" s="17">
        <f t="shared" si="62"/>
        <v>38.294463792824274</v>
      </c>
      <c r="EE103" s="17">
        <f t="shared" si="62"/>
        <v>36.278986308774755</v>
      </c>
      <c r="EF103" s="17">
        <f t="shared" si="62"/>
        <v>34.263509739115861</v>
      </c>
      <c r="EG103" s="17">
        <f t="shared" si="62"/>
        <v>32.248033784673936</v>
      </c>
      <c r="EH103" s="17">
        <f t="shared" si="62"/>
        <v>30.232558139534888</v>
      </c>
    </row>
    <row r="104" spans="5:138" ht="15.6" x14ac:dyDescent="0.3">
      <c r="E104" s="25"/>
      <c r="F104" s="15">
        <v>0</v>
      </c>
      <c r="G104" s="17">
        <f t="shared" si="40"/>
        <v>300</v>
      </c>
      <c r="H104" s="17">
        <f t="shared" si="53"/>
        <v>293.33323995443419</v>
      </c>
      <c r="I104" s="17">
        <f t="shared" si="53"/>
        <v>286.66648093194721</v>
      </c>
      <c r="J104" s="17">
        <f t="shared" si="53"/>
        <v>279.99972394440852</v>
      </c>
      <c r="K104" s="17">
        <f t="shared" si="53"/>
        <v>273.33296998139281</v>
      </c>
      <c r="L104" s="17">
        <f t="shared" si="53"/>
        <v>266.66621999933693</v>
      </c>
      <c r="M104" s="17">
        <f t="shared" si="53"/>
        <v>259.99947491106184</v>
      </c>
      <c r="N104" s="17">
        <f t="shared" si="53"/>
        <v>253.33273557577104</v>
      </c>
      <c r="O104" s="17">
        <f t="shared" si="53"/>
        <v>246.66600278963719</v>
      </c>
      <c r="P104" s="17">
        <f t="shared" si="53"/>
        <v>239.99927727707905</v>
      </c>
      <c r="Q104" s="17">
        <f t="shared" si="54"/>
        <v>233.33255968282444</v>
      </c>
      <c r="R104" s="17">
        <f t="shared" si="54"/>
        <v>226.66585056484664</v>
      </c>
      <c r="S104" s="17">
        <f t="shared" si="54"/>
        <v>219.99915038825122</v>
      </c>
      <c r="T104" s="17">
        <f t="shared" si="54"/>
        <v>213.3324595201799</v>
      </c>
      <c r="U104" s="17">
        <f t="shared" si="54"/>
        <v>206.66577822578839</v>
      </c>
      <c r="V104" s="17">
        <f t="shared" si="54"/>
        <v>199.999106665341</v>
      </c>
      <c r="W104" s="17">
        <f t="shared" si="54"/>
        <v>193.33244489245507</v>
      </c>
      <c r="X104" s="17">
        <f t="shared" si="54"/>
        <v>186.66579285351338</v>
      </c>
      <c r="Y104" s="17">
        <f t="shared" si="54"/>
        <v>179.99915038825139</v>
      </c>
      <c r="Z104" s="17">
        <f t="shared" si="54"/>
        <v>173.33251723151352</v>
      </c>
      <c r="AA104" s="17">
        <f t="shared" si="54"/>
        <v>166.66589301615795</v>
      </c>
      <c r="AB104" s="17">
        <f t="shared" si="54"/>
        <v>159.9992772770793</v>
      </c>
      <c r="AC104" s="17">
        <f t="shared" si="54"/>
        <v>153.33266945630425</v>
      </c>
      <c r="AD104" s="17">
        <f t="shared" si="54"/>
        <v>146.66606890910475</v>
      </c>
      <c r="AE104" s="17">
        <f t="shared" si="54"/>
        <v>139.99947491106224</v>
      </c>
      <c r="AF104" s="17">
        <f t="shared" si="54"/>
        <v>133.33288666600399</v>
      </c>
      <c r="AG104" s="17">
        <f t="shared" si="54"/>
        <v>126.66630331472643</v>
      </c>
      <c r="AH104" s="17">
        <f t="shared" si="54"/>
        <v>119.9997239444088</v>
      </c>
      <c r="AI104" s="17">
        <f t="shared" si="54"/>
        <v>113.33314759861399</v>
      </c>
      <c r="AJ104" s="17">
        <f t="shared" si="54"/>
        <v>106.66657328776762</v>
      </c>
      <c r="AK104" s="17">
        <f t="shared" si="42"/>
        <v>100</v>
      </c>
      <c r="AL104" s="25"/>
      <c r="AM104" s="15">
        <v>0</v>
      </c>
      <c r="AN104" s="17">
        <f t="shared" si="59"/>
        <v>-538200000</v>
      </c>
      <c r="AO104" s="17">
        <f t="shared" si="59"/>
        <v>-526239832.47825491</v>
      </c>
      <c r="AP104" s="17">
        <f t="shared" si="59"/>
        <v>-514279666.79191321</v>
      </c>
      <c r="AQ104" s="17">
        <f t="shared" si="59"/>
        <v>-502319504.75626886</v>
      </c>
      <c r="AR104" s="17">
        <f t="shared" si="59"/>
        <v>-490359348.14661872</v>
      </c>
      <c r="AS104" s="17">
        <f t="shared" si="59"/>
        <v>-478399198.67881048</v>
      </c>
      <c r="AT104" s="17">
        <f t="shared" si="59"/>
        <v>-466439057.99044484</v>
      </c>
      <c r="AU104" s="17">
        <f t="shared" si="56"/>
        <v>-454478927.62293321</v>
      </c>
      <c r="AV104" s="17">
        <f t="shared" si="56"/>
        <v>-442518809.00460905</v>
      </c>
      <c r="AW104" s="17">
        <f t="shared" si="56"/>
        <v>-430558703.43507981</v>
      </c>
      <c r="AX104" s="17">
        <f t="shared" si="56"/>
        <v>-418598612.07098699</v>
      </c>
      <c r="AY104" s="17">
        <f t="shared" si="56"/>
        <v>-406638535.91333485</v>
      </c>
      <c r="AZ104" s="17">
        <f t="shared" si="56"/>
        <v>-394678475.79652268</v>
      </c>
      <c r="BA104" s="17">
        <f t="shared" si="56"/>
        <v>-382718432.37920272</v>
      </c>
      <c r="BB104" s="17">
        <f t="shared" si="56"/>
        <v>-370758406.13706434</v>
      </c>
      <c r="BC104" s="17">
        <f t="shared" si="56"/>
        <v>-358798397.35762179</v>
      </c>
      <c r="BD104" s="17">
        <f t="shared" si="56"/>
        <v>-346838406.13706446</v>
      </c>
      <c r="BE104" s="17">
        <f t="shared" si="56"/>
        <v>-334878432.37920296</v>
      </c>
      <c r="BF104" s="17">
        <f t="shared" si="56"/>
        <v>-322918475.79652297</v>
      </c>
      <c r="BG104" s="17">
        <f t="shared" si="56"/>
        <v>-310958535.91333526</v>
      </c>
      <c r="BH104" s="17">
        <f t="shared" si="56"/>
        <v>-298998612.07098734</v>
      </c>
      <c r="BI104" s="17">
        <f t="shared" si="56"/>
        <v>-287038703.43508029</v>
      </c>
      <c r="BJ104" s="17">
        <f t="shared" si="56"/>
        <v>-275078809.00460982</v>
      </c>
      <c r="BK104" s="17">
        <f t="shared" si="60"/>
        <v>-263118927.62293392</v>
      </c>
      <c r="BL104" s="17">
        <f t="shared" si="60"/>
        <v>-251159057.99044561</v>
      </c>
      <c r="BM104" s="17">
        <f t="shared" si="60"/>
        <v>-239199198.6788111</v>
      </c>
      <c r="BN104" s="17">
        <f t="shared" si="60"/>
        <v>-227239348.1466192</v>
      </c>
      <c r="BO104" s="17">
        <f t="shared" si="60"/>
        <v>-215279504.75626937</v>
      </c>
      <c r="BP104" s="17">
        <f t="shared" si="60"/>
        <v>-203319666.79191348</v>
      </c>
      <c r="BQ104" s="17">
        <f t="shared" si="60"/>
        <v>-191359832.47825509</v>
      </c>
      <c r="BR104" s="17">
        <f t="shared" si="60"/>
        <v>-179400000</v>
      </c>
      <c r="BS104" s="7"/>
      <c r="BT104" s="25"/>
      <c r="BU104" s="15">
        <v>0</v>
      </c>
      <c r="BV104" s="17">
        <v>1</v>
      </c>
      <c r="BW104" s="17">
        <v>1</v>
      </c>
      <c r="BX104" s="17">
        <v>1</v>
      </c>
      <c r="BY104" s="17">
        <v>1</v>
      </c>
      <c r="BZ104" s="17">
        <v>1</v>
      </c>
      <c r="CA104" s="17">
        <v>1</v>
      </c>
      <c r="CB104" s="17">
        <v>1</v>
      </c>
      <c r="CC104" s="17">
        <v>1</v>
      </c>
      <c r="CD104" s="17">
        <v>1</v>
      </c>
      <c r="CE104" s="17">
        <v>1</v>
      </c>
      <c r="CF104" s="17">
        <v>1</v>
      </c>
      <c r="CG104" s="17">
        <v>1</v>
      </c>
      <c r="CH104" s="17">
        <v>1</v>
      </c>
      <c r="CI104" s="17">
        <v>1</v>
      </c>
      <c r="CJ104" s="17">
        <v>1</v>
      </c>
      <c r="CK104" s="17">
        <v>1</v>
      </c>
      <c r="CL104" s="17">
        <v>1</v>
      </c>
      <c r="CM104" s="17">
        <v>1</v>
      </c>
      <c r="CN104" s="17">
        <v>1</v>
      </c>
      <c r="CO104" s="17">
        <v>1</v>
      </c>
      <c r="CP104" s="17">
        <v>1</v>
      </c>
      <c r="CQ104" s="17">
        <v>1</v>
      </c>
      <c r="CR104" s="17">
        <v>1</v>
      </c>
      <c r="CS104" s="17">
        <v>1</v>
      </c>
      <c r="CT104" s="17">
        <v>1</v>
      </c>
      <c r="CU104" s="17">
        <v>1</v>
      </c>
      <c r="CV104" s="17">
        <v>1</v>
      </c>
      <c r="CW104" s="17">
        <v>1</v>
      </c>
      <c r="CX104" s="17">
        <v>1</v>
      </c>
      <c r="CY104" s="17">
        <v>1</v>
      </c>
      <c r="CZ104" s="17">
        <v>1</v>
      </c>
      <c r="DA104" s="7"/>
      <c r="DB104" s="25"/>
      <c r="DC104" s="15">
        <v>0</v>
      </c>
      <c r="DD104" s="17">
        <v>0</v>
      </c>
      <c r="DE104" s="17">
        <v>0</v>
      </c>
      <c r="DF104" s="17">
        <v>0</v>
      </c>
      <c r="DG104" s="17">
        <v>0</v>
      </c>
      <c r="DH104" s="17">
        <v>0</v>
      </c>
      <c r="DI104" s="17">
        <v>0</v>
      </c>
      <c r="DJ104" s="17">
        <v>0</v>
      </c>
      <c r="DK104" s="17">
        <v>0</v>
      </c>
      <c r="DL104" s="17">
        <v>0</v>
      </c>
      <c r="DM104" s="17">
        <v>0</v>
      </c>
      <c r="DN104" s="17">
        <v>0</v>
      </c>
      <c r="DO104" s="17">
        <v>0</v>
      </c>
      <c r="DP104" s="17">
        <v>0</v>
      </c>
      <c r="DQ104" s="17">
        <v>0</v>
      </c>
      <c r="DR104" s="17">
        <v>0</v>
      </c>
      <c r="DS104" s="17">
        <v>0</v>
      </c>
      <c r="DT104" s="17">
        <v>0</v>
      </c>
      <c r="DU104" s="17">
        <v>0</v>
      </c>
      <c r="DV104" s="17">
        <v>0</v>
      </c>
      <c r="DW104" s="17">
        <v>0</v>
      </c>
      <c r="DX104" s="17">
        <v>0</v>
      </c>
      <c r="DY104" s="17">
        <v>0</v>
      </c>
      <c r="DZ104" s="17">
        <v>0</v>
      </c>
      <c r="EA104" s="17">
        <v>0</v>
      </c>
      <c r="EB104" s="17">
        <v>0</v>
      </c>
      <c r="EC104" s="17">
        <v>0</v>
      </c>
      <c r="ED104" s="17">
        <v>0</v>
      </c>
      <c r="EE104" s="17">
        <v>0</v>
      </c>
      <c r="EF104" s="17">
        <v>0</v>
      </c>
      <c r="EG104" s="17">
        <v>0</v>
      </c>
      <c r="EH104" s="17">
        <v>0</v>
      </c>
    </row>
    <row r="105" spans="5:138" ht="15.6" x14ac:dyDescent="0.3"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20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7"/>
      <c r="BV105" s="7"/>
      <c r="BW105" s="7"/>
      <c r="BX105" s="7"/>
      <c r="BY105" s="7"/>
      <c r="BZ105" s="7"/>
      <c r="CA105" s="7"/>
      <c r="CB105" s="7"/>
      <c r="CC105" s="7"/>
      <c r="CD105" s="7"/>
      <c r="CE105" s="7"/>
      <c r="CF105" s="7"/>
      <c r="CG105" s="7"/>
      <c r="CH105" s="7"/>
      <c r="CI105" s="7"/>
      <c r="CJ105" s="7"/>
      <c r="CK105" s="7"/>
      <c r="CL105" s="7"/>
      <c r="CM105" s="7"/>
      <c r="CN105" s="7"/>
      <c r="CO105" s="7"/>
      <c r="CP105" s="7"/>
      <c r="CQ105" s="7"/>
      <c r="CR105" s="7"/>
      <c r="CS105" s="7"/>
      <c r="CT105" s="7"/>
      <c r="CU105" s="7"/>
      <c r="CV105" s="7"/>
      <c r="CW105" s="7"/>
      <c r="CX105" s="7"/>
      <c r="CY105" s="7"/>
      <c r="CZ105" s="7"/>
      <c r="DA105" s="7"/>
      <c r="DB105" s="7"/>
      <c r="DC105" s="7"/>
      <c r="DD105" s="7"/>
      <c r="DE105" s="7"/>
      <c r="DF105" s="7"/>
      <c r="DG105" s="7"/>
      <c r="DH105" s="7"/>
      <c r="DI105" s="7"/>
      <c r="DJ105" s="7"/>
      <c r="DK105" s="7"/>
      <c r="DL105" s="7"/>
      <c r="DM105" s="7"/>
      <c r="DN105" s="7"/>
      <c r="DO105" s="7"/>
      <c r="DP105" s="7"/>
      <c r="DQ105" s="7"/>
      <c r="DR105" s="7"/>
      <c r="DS105" s="7"/>
      <c r="DT105" s="7"/>
      <c r="DU105" s="7"/>
      <c r="DV105" s="7"/>
      <c r="DW105" s="7"/>
      <c r="DX105" s="7"/>
      <c r="DY105" s="7"/>
      <c r="DZ105" s="7"/>
      <c r="EA105" s="7"/>
      <c r="EB105" s="7"/>
      <c r="EC105" s="7"/>
      <c r="ED105" s="7"/>
      <c r="EE105" s="7"/>
      <c r="EF105" s="7"/>
      <c r="EG105" s="7"/>
      <c r="EH105" s="7"/>
    </row>
    <row r="106" spans="5:138" ht="15.6" x14ac:dyDescent="0.3"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20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  <c r="BJ106" s="7"/>
      <c r="BK106" s="7"/>
      <c r="BL106" s="7"/>
      <c r="BM106" s="7"/>
      <c r="BN106" s="7"/>
      <c r="BO106" s="7"/>
      <c r="BP106" s="7"/>
      <c r="BQ106" s="7"/>
      <c r="BR106" s="7"/>
      <c r="BS106" s="7"/>
      <c r="BT106" s="7"/>
      <c r="BU106" s="7"/>
      <c r="BV106" s="7"/>
      <c r="BW106" s="7"/>
      <c r="BX106" s="7"/>
      <c r="BY106" s="7"/>
      <c r="BZ106" s="7"/>
      <c r="CA106" s="7"/>
      <c r="CB106" s="7"/>
      <c r="CC106" s="7"/>
      <c r="CD106" s="7"/>
      <c r="CE106" s="7"/>
      <c r="CF106" s="7"/>
      <c r="CG106" s="7"/>
      <c r="CH106" s="7"/>
      <c r="CI106" s="7"/>
      <c r="CJ106" s="7"/>
      <c r="CK106" s="7"/>
      <c r="CL106" s="7"/>
      <c r="CM106" s="7"/>
      <c r="CN106" s="7"/>
      <c r="CO106" s="7"/>
      <c r="CP106" s="7"/>
      <c r="CQ106" s="7"/>
      <c r="CR106" s="7"/>
      <c r="CS106" s="7"/>
      <c r="CT106" s="7"/>
      <c r="CU106" s="7"/>
      <c r="CV106" s="7"/>
      <c r="CW106" s="7"/>
      <c r="CX106" s="7"/>
      <c r="CY106" s="7"/>
      <c r="CZ106" s="7"/>
      <c r="DA106" s="7"/>
      <c r="DB106" s="7"/>
      <c r="DC106" s="7"/>
      <c r="DD106" s="7"/>
      <c r="DE106" s="7"/>
      <c r="DF106" s="7"/>
      <c r="DG106" s="7"/>
      <c r="DH106" s="7"/>
      <c r="DI106" s="7"/>
      <c r="DJ106" s="7"/>
      <c r="DK106" s="7"/>
      <c r="DL106" s="7"/>
      <c r="DM106" s="7"/>
      <c r="DN106" s="7"/>
      <c r="DO106" s="7"/>
      <c r="DP106" s="7"/>
      <c r="DQ106" s="7"/>
      <c r="DR106" s="7"/>
      <c r="DS106" s="7"/>
      <c r="DT106" s="7"/>
      <c r="DU106" s="7"/>
      <c r="DV106" s="7"/>
      <c r="DW106" s="7"/>
      <c r="DX106" s="7"/>
      <c r="DY106" s="7"/>
      <c r="DZ106" s="7"/>
      <c r="EA106" s="7"/>
      <c r="EB106" s="7"/>
      <c r="EC106" s="7"/>
      <c r="ED106" s="7"/>
      <c r="EE106" s="7"/>
      <c r="EF106" s="7"/>
      <c r="EG106" s="7"/>
      <c r="EH106" s="7"/>
    </row>
    <row r="107" spans="5:138" ht="15.6" x14ac:dyDescent="0.3"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20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7"/>
      <c r="BV107" s="7"/>
      <c r="BW107" s="7"/>
      <c r="BX107" s="7"/>
      <c r="BY107" s="7"/>
      <c r="BZ107" s="7"/>
      <c r="CA107" s="7"/>
      <c r="CB107" s="7"/>
      <c r="CC107" s="7"/>
      <c r="CD107" s="7"/>
      <c r="CE107" s="7"/>
      <c r="CF107" s="7"/>
      <c r="CG107" s="7"/>
      <c r="CH107" s="7"/>
      <c r="CI107" s="7"/>
      <c r="CJ107" s="7"/>
      <c r="CK107" s="7"/>
      <c r="CL107" s="7"/>
      <c r="CM107" s="7"/>
      <c r="CN107" s="7"/>
      <c r="CO107" s="7"/>
      <c r="CP107" s="7"/>
      <c r="CQ107" s="7"/>
      <c r="CR107" s="7"/>
      <c r="CS107" s="7"/>
      <c r="CT107" s="7"/>
      <c r="CU107" s="7"/>
      <c r="CV107" s="7"/>
      <c r="CW107" s="7"/>
      <c r="CX107" s="7"/>
      <c r="CY107" s="7"/>
      <c r="CZ107" s="7"/>
      <c r="DA107" s="7"/>
      <c r="DB107" s="7"/>
      <c r="DC107" s="7"/>
      <c r="DD107" s="7"/>
      <c r="DE107" s="7"/>
      <c r="DF107" s="7"/>
      <c r="DG107" s="7"/>
      <c r="DH107" s="7"/>
      <c r="DI107" s="7"/>
      <c r="DJ107" s="7"/>
      <c r="DK107" s="7"/>
      <c r="DL107" s="7"/>
      <c r="DM107" s="7"/>
      <c r="DN107" s="7"/>
      <c r="DO107" s="7"/>
      <c r="DP107" s="7"/>
      <c r="DQ107" s="7"/>
      <c r="DR107" s="7"/>
      <c r="DS107" s="7"/>
      <c r="DT107" s="7"/>
      <c r="DU107" s="7"/>
      <c r="DV107" s="7"/>
      <c r="DW107" s="7"/>
      <c r="DX107" s="7"/>
      <c r="DY107" s="7"/>
      <c r="DZ107" s="7"/>
      <c r="EA107" s="7"/>
      <c r="EB107" s="7"/>
      <c r="EC107" s="7"/>
      <c r="ED107" s="7"/>
      <c r="EE107" s="7"/>
      <c r="EF107" s="7"/>
      <c r="EG107" s="7"/>
      <c r="EH107" s="7"/>
    </row>
    <row r="108" spans="5:138" ht="15.6" x14ac:dyDescent="0.3"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20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7"/>
      <c r="BV108" s="7"/>
      <c r="BW108" s="7"/>
      <c r="BX108" s="7"/>
      <c r="BY108" s="7"/>
      <c r="BZ108" s="7"/>
      <c r="CA108" s="7"/>
      <c r="CB108" s="7"/>
      <c r="CC108" s="7"/>
      <c r="CD108" s="7"/>
      <c r="CE108" s="7"/>
      <c r="CF108" s="7"/>
      <c r="CG108" s="7"/>
      <c r="CH108" s="7"/>
      <c r="CI108" s="7"/>
      <c r="CJ108" s="7"/>
      <c r="CK108" s="7"/>
      <c r="CL108" s="7"/>
      <c r="CM108" s="7"/>
      <c r="CN108" s="7"/>
      <c r="CO108" s="7"/>
      <c r="CP108" s="7"/>
      <c r="CQ108" s="7"/>
      <c r="CR108" s="7"/>
      <c r="CS108" s="7"/>
      <c r="CT108" s="7"/>
      <c r="CU108" s="7"/>
      <c r="CV108" s="7"/>
      <c r="CW108" s="7"/>
      <c r="CX108" s="7"/>
      <c r="CY108" s="7"/>
      <c r="CZ108" s="7"/>
      <c r="DA108" s="7"/>
      <c r="DB108" s="7"/>
      <c r="DC108" s="7"/>
      <c r="DD108" s="7"/>
      <c r="DE108" s="7"/>
      <c r="DF108" s="7"/>
      <c r="DG108" s="7"/>
      <c r="DH108" s="7"/>
      <c r="DI108" s="7"/>
      <c r="DJ108" s="7"/>
      <c r="DK108" s="7"/>
      <c r="DL108" s="7"/>
      <c r="DM108" s="7"/>
      <c r="DN108" s="7"/>
      <c r="DO108" s="7"/>
      <c r="DP108" s="7"/>
      <c r="DQ108" s="7"/>
      <c r="DR108" s="7"/>
      <c r="DS108" s="7"/>
      <c r="DT108" s="7"/>
      <c r="DU108" s="7"/>
      <c r="DV108" s="7"/>
      <c r="DW108" s="7"/>
      <c r="DX108" s="7"/>
      <c r="DY108" s="7"/>
      <c r="DZ108" s="7"/>
      <c r="EA108" s="7"/>
      <c r="EB108" s="7"/>
      <c r="EC108" s="7"/>
      <c r="ED108" s="7"/>
      <c r="EE108" s="7"/>
      <c r="EF108" s="7"/>
      <c r="EG108" s="7"/>
      <c r="EH108" s="7"/>
    </row>
    <row r="109" spans="5:138" ht="15.6" x14ac:dyDescent="0.3"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20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7"/>
      <c r="BV109" s="7"/>
      <c r="BW109" s="7"/>
      <c r="BX109" s="7"/>
      <c r="BY109" s="7"/>
      <c r="BZ109" s="7"/>
      <c r="CA109" s="7"/>
      <c r="CB109" s="7"/>
      <c r="CC109" s="7"/>
      <c r="CD109" s="7"/>
      <c r="CE109" s="7"/>
      <c r="CF109" s="7"/>
      <c r="CG109" s="7"/>
      <c r="CH109" s="7"/>
      <c r="CI109" s="7"/>
      <c r="CJ109" s="7"/>
      <c r="CK109" s="7"/>
      <c r="CL109" s="7"/>
      <c r="CM109" s="7"/>
      <c r="CN109" s="7"/>
      <c r="CO109" s="7"/>
      <c r="CP109" s="7"/>
      <c r="CQ109" s="7"/>
      <c r="CR109" s="7"/>
      <c r="CS109" s="7"/>
      <c r="CT109" s="7"/>
      <c r="CU109" s="7"/>
      <c r="CV109" s="7"/>
      <c r="CW109" s="7"/>
      <c r="CX109" s="7"/>
      <c r="CY109" s="7"/>
      <c r="CZ109" s="7"/>
      <c r="DA109" s="7"/>
      <c r="DB109" s="7"/>
      <c r="DC109" s="7"/>
      <c r="DD109" s="7"/>
      <c r="DE109" s="7"/>
      <c r="DF109" s="7"/>
      <c r="DG109" s="7"/>
      <c r="DH109" s="7"/>
      <c r="DI109" s="7"/>
      <c r="DJ109" s="7"/>
      <c r="DK109" s="7"/>
      <c r="DL109" s="7"/>
      <c r="DM109" s="7"/>
      <c r="DN109" s="7"/>
      <c r="DO109" s="7"/>
      <c r="DP109" s="7"/>
      <c r="DQ109" s="7"/>
      <c r="DR109" s="7"/>
      <c r="DS109" s="7"/>
      <c r="DT109" s="7"/>
      <c r="DU109" s="7"/>
      <c r="DV109" s="7"/>
      <c r="DW109" s="7"/>
      <c r="DX109" s="7"/>
      <c r="DY109" s="7"/>
      <c r="DZ109" s="7"/>
      <c r="EA109" s="7"/>
      <c r="EB109" s="7"/>
      <c r="EC109" s="7"/>
      <c r="ED109" s="7"/>
      <c r="EE109" s="7"/>
      <c r="EF109" s="7"/>
      <c r="EG109" s="7"/>
      <c r="EH109" s="7"/>
    </row>
    <row r="110" spans="5:138" ht="15.6" x14ac:dyDescent="0.3"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20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7"/>
      <c r="BV110" s="7"/>
      <c r="BW110" s="7"/>
      <c r="BX110" s="7"/>
      <c r="BY110" s="7"/>
      <c r="BZ110" s="7"/>
      <c r="CA110" s="7"/>
      <c r="CB110" s="7"/>
      <c r="CC110" s="7"/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  <c r="CO110" s="7"/>
      <c r="CP110" s="7"/>
      <c r="CQ110" s="7"/>
      <c r="CR110" s="7"/>
      <c r="CS110" s="7"/>
      <c r="CT110" s="7"/>
      <c r="CU110" s="7"/>
      <c r="CV110" s="7"/>
      <c r="CW110" s="7"/>
      <c r="CX110" s="7"/>
      <c r="CY110" s="7"/>
      <c r="CZ110" s="7"/>
      <c r="DA110" s="7"/>
      <c r="DB110" s="7"/>
      <c r="DC110" s="7"/>
      <c r="DD110" s="7"/>
      <c r="DE110" s="7"/>
      <c r="DF110" s="7"/>
      <c r="DG110" s="7"/>
      <c r="DH110" s="7"/>
      <c r="DI110" s="7"/>
      <c r="DJ110" s="7"/>
      <c r="DK110" s="7"/>
      <c r="DL110" s="7"/>
      <c r="DM110" s="7"/>
      <c r="DN110" s="7"/>
      <c r="DO110" s="7"/>
      <c r="DP110" s="7"/>
      <c r="DQ110" s="7"/>
      <c r="DR110" s="7"/>
      <c r="DS110" s="7"/>
      <c r="DT110" s="7"/>
      <c r="DU110" s="7"/>
      <c r="DV110" s="7"/>
      <c r="DW110" s="7"/>
      <c r="DX110" s="7"/>
      <c r="DY110" s="7"/>
      <c r="DZ110" s="7"/>
      <c r="EA110" s="7"/>
      <c r="EB110" s="7"/>
      <c r="EC110" s="7"/>
      <c r="ED110" s="7"/>
      <c r="EE110" s="7"/>
      <c r="EF110" s="7"/>
      <c r="EG110" s="7"/>
      <c r="EH110" s="7"/>
    </row>
    <row r="111" spans="5:138" ht="15.6" x14ac:dyDescent="0.3"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20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7"/>
      <c r="BV111" s="7"/>
      <c r="BW111" s="7"/>
      <c r="BX111" s="7"/>
      <c r="BY111" s="7"/>
      <c r="BZ111" s="7"/>
      <c r="CA111" s="7"/>
      <c r="CB111" s="7"/>
      <c r="CC111" s="7"/>
      <c r="CD111" s="7"/>
      <c r="CE111" s="7"/>
      <c r="CF111" s="7"/>
      <c r="CG111" s="7"/>
      <c r="CH111" s="7"/>
      <c r="CI111" s="7"/>
      <c r="CJ111" s="7"/>
      <c r="CK111" s="7"/>
      <c r="CL111" s="7"/>
      <c r="CM111" s="7"/>
      <c r="CN111" s="7"/>
      <c r="CO111" s="7"/>
      <c r="CP111" s="7"/>
      <c r="CQ111" s="7"/>
      <c r="CR111" s="7"/>
      <c r="CS111" s="7"/>
      <c r="CT111" s="7"/>
      <c r="CU111" s="7"/>
      <c r="CV111" s="7"/>
      <c r="CW111" s="7"/>
      <c r="CX111" s="7"/>
      <c r="CY111" s="7"/>
      <c r="CZ111" s="7"/>
      <c r="DA111" s="7"/>
      <c r="DB111" s="7"/>
      <c r="DC111" s="7"/>
      <c r="DD111" s="7"/>
      <c r="DE111" s="7"/>
      <c r="DF111" s="7"/>
      <c r="DG111" s="7"/>
      <c r="DH111" s="7"/>
      <c r="DI111" s="7"/>
      <c r="DJ111" s="7"/>
      <c r="DK111" s="7"/>
      <c r="DL111" s="7"/>
      <c r="DM111" s="7"/>
      <c r="DN111" s="7"/>
      <c r="DO111" s="7"/>
      <c r="DP111" s="7"/>
      <c r="DQ111" s="7"/>
      <c r="DR111" s="7"/>
      <c r="DS111" s="7"/>
      <c r="DT111" s="7"/>
      <c r="DU111" s="7"/>
      <c r="DV111" s="7"/>
      <c r="DW111" s="7"/>
      <c r="DX111" s="7"/>
      <c r="DY111" s="7"/>
      <c r="DZ111" s="7"/>
      <c r="EA111" s="7"/>
      <c r="EB111" s="7"/>
      <c r="EC111" s="7"/>
      <c r="ED111" s="7"/>
      <c r="EE111" s="7"/>
      <c r="EF111" s="7"/>
      <c r="EG111" s="7"/>
      <c r="EH111" s="7"/>
    </row>
    <row r="112" spans="5:138" ht="15.6" x14ac:dyDescent="0.3"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20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7"/>
      <c r="BV112" s="7"/>
      <c r="BW112" s="7"/>
      <c r="BX112" s="7"/>
      <c r="BY112" s="7"/>
      <c r="BZ112" s="7"/>
      <c r="CA112" s="7"/>
      <c r="CB112" s="7"/>
      <c r="CC112" s="7"/>
      <c r="CD112" s="7"/>
      <c r="CE112" s="7"/>
      <c r="CF112" s="7"/>
      <c r="CG112" s="7"/>
      <c r="CH112" s="7"/>
      <c r="CI112" s="7"/>
      <c r="CJ112" s="7"/>
      <c r="CK112" s="7"/>
      <c r="CL112" s="7"/>
      <c r="CM112" s="7"/>
      <c r="CN112" s="7"/>
      <c r="CO112" s="7"/>
      <c r="CP112" s="7"/>
      <c r="CQ112" s="7"/>
      <c r="CR112" s="7"/>
      <c r="CS112" s="7"/>
      <c r="CT112" s="7"/>
      <c r="CU112" s="7"/>
      <c r="CV112" s="7"/>
      <c r="CW112" s="7"/>
      <c r="CX112" s="7"/>
      <c r="CY112" s="7"/>
      <c r="CZ112" s="7"/>
      <c r="DA112" s="7"/>
      <c r="DB112" s="7"/>
      <c r="DC112" s="7"/>
      <c r="DD112" s="7"/>
      <c r="DE112" s="7"/>
      <c r="DF112" s="7"/>
      <c r="DG112" s="7"/>
      <c r="DH112" s="7"/>
      <c r="DI112" s="7"/>
      <c r="DJ112" s="7"/>
      <c r="DK112" s="7"/>
      <c r="DL112" s="7"/>
      <c r="DM112" s="7"/>
      <c r="DN112" s="7"/>
      <c r="DO112" s="7"/>
      <c r="DP112" s="7"/>
      <c r="DQ112" s="7"/>
      <c r="DR112" s="7"/>
      <c r="DS112" s="7"/>
      <c r="DT112" s="7"/>
      <c r="DU112" s="7"/>
      <c r="DV112" s="7"/>
      <c r="DW112" s="7"/>
      <c r="DX112" s="7"/>
      <c r="DY112" s="7"/>
      <c r="DZ112" s="7"/>
      <c r="EA112" s="7"/>
      <c r="EB112" s="7"/>
      <c r="EC112" s="7"/>
      <c r="ED112" s="7"/>
      <c r="EE112" s="7"/>
      <c r="EF112" s="7"/>
      <c r="EG112" s="7"/>
      <c r="EH112" s="7"/>
    </row>
    <row r="113" spans="5:138" ht="15.6" x14ac:dyDescent="0.3"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20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7"/>
      <c r="BV113" s="7"/>
      <c r="BW113" s="7"/>
      <c r="BX113" s="7"/>
      <c r="BY113" s="7"/>
      <c r="BZ113" s="7"/>
      <c r="CA113" s="7"/>
      <c r="CB113" s="7"/>
      <c r="CC113" s="7"/>
      <c r="CD113" s="7"/>
      <c r="CE113" s="7"/>
      <c r="CF113" s="7"/>
      <c r="CG113" s="7"/>
      <c r="CH113" s="7"/>
      <c r="CI113" s="7"/>
      <c r="CJ113" s="7"/>
      <c r="CK113" s="7"/>
      <c r="CL113" s="7"/>
      <c r="CM113" s="7"/>
      <c r="CN113" s="7"/>
      <c r="CO113" s="7"/>
      <c r="CP113" s="7"/>
      <c r="CQ113" s="7"/>
      <c r="CR113" s="7"/>
      <c r="CS113" s="7"/>
      <c r="CT113" s="7"/>
      <c r="CU113" s="7"/>
      <c r="CV113" s="7"/>
      <c r="CW113" s="7"/>
      <c r="CX113" s="7"/>
      <c r="CY113" s="7"/>
      <c r="CZ113" s="7"/>
      <c r="DA113" s="7"/>
      <c r="DB113" s="7"/>
      <c r="DC113" s="7"/>
      <c r="DD113" s="7"/>
      <c r="DE113" s="7"/>
      <c r="DF113" s="7"/>
      <c r="DG113" s="7"/>
      <c r="DH113" s="7"/>
      <c r="DI113" s="7"/>
      <c r="DJ113" s="7"/>
      <c r="DK113" s="7"/>
      <c r="DL113" s="7"/>
      <c r="DM113" s="7"/>
      <c r="DN113" s="7"/>
      <c r="DO113" s="7"/>
      <c r="DP113" s="7"/>
      <c r="DQ113" s="7"/>
      <c r="DR113" s="7"/>
      <c r="DS113" s="7"/>
      <c r="DT113" s="7"/>
      <c r="DU113" s="7"/>
      <c r="DV113" s="7"/>
      <c r="DW113" s="7"/>
      <c r="DX113" s="7"/>
      <c r="DY113" s="7"/>
      <c r="DZ113" s="7"/>
      <c r="EA113" s="7"/>
      <c r="EB113" s="7"/>
      <c r="EC113" s="7"/>
      <c r="ED113" s="7"/>
      <c r="EE113" s="7"/>
      <c r="EF113" s="7"/>
      <c r="EG113" s="7"/>
      <c r="EH113" s="7"/>
    </row>
    <row r="114" spans="5:138" ht="15.6" x14ac:dyDescent="0.3"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20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  <c r="BJ114" s="7"/>
      <c r="BK114" s="7"/>
      <c r="BL114" s="7"/>
      <c r="BM114" s="7"/>
      <c r="BN114" s="7"/>
      <c r="BO114" s="7"/>
      <c r="BP114" s="7"/>
      <c r="BQ114" s="7"/>
      <c r="BR114" s="7"/>
      <c r="BS114" s="7"/>
      <c r="BT114" s="7"/>
      <c r="BU114" s="7"/>
      <c r="BV114" s="7"/>
      <c r="BW114" s="7"/>
      <c r="BX114" s="7"/>
      <c r="BY114" s="7"/>
      <c r="BZ114" s="7"/>
      <c r="CA114" s="7"/>
      <c r="CB114" s="7"/>
      <c r="CC114" s="7"/>
      <c r="CD114" s="7"/>
      <c r="CE114" s="7"/>
      <c r="CF114" s="7"/>
      <c r="CG114" s="7"/>
      <c r="CH114" s="7"/>
      <c r="CI114" s="7"/>
      <c r="CJ114" s="7"/>
      <c r="CK114" s="7"/>
      <c r="CL114" s="7"/>
      <c r="CM114" s="7"/>
      <c r="CN114" s="7"/>
      <c r="CO114" s="7"/>
      <c r="CP114" s="7"/>
      <c r="CQ114" s="7"/>
      <c r="CR114" s="7"/>
      <c r="CS114" s="7"/>
      <c r="CT114" s="7"/>
      <c r="CU114" s="7"/>
      <c r="CV114" s="7"/>
      <c r="CW114" s="7"/>
      <c r="CX114" s="7"/>
      <c r="CY114" s="7"/>
      <c r="CZ114" s="7"/>
      <c r="DA114" s="7"/>
      <c r="DB114" s="7"/>
      <c r="DC114" s="7"/>
      <c r="DD114" s="7"/>
      <c r="DE114" s="7"/>
      <c r="DF114" s="7"/>
      <c r="DG114" s="7"/>
      <c r="DH114" s="7"/>
      <c r="DI114" s="7"/>
      <c r="DJ114" s="7"/>
      <c r="DK114" s="7"/>
      <c r="DL114" s="7"/>
      <c r="DM114" s="7"/>
      <c r="DN114" s="7"/>
      <c r="DO114" s="7"/>
      <c r="DP114" s="7"/>
      <c r="DQ114" s="7"/>
      <c r="DR114" s="7"/>
      <c r="DS114" s="7"/>
      <c r="DT114" s="7"/>
      <c r="DU114" s="7"/>
      <c r="DV114" s="7"/>
      <c r="DW114" s="7"/>
      <c r="DX114" s="7"/>
      <c r="DY114" s="7"/>
      <c r="DZ114" s="7"/>
      <c r="EA114" s="7"/>
      <c r="EB114" s="7"/>
      <c r="EC114" s="7"/>
      <c r="ED114" s="7"/>
      <c r="EE114" s="7"/>
      <c r="EF114" s="7"/>
      <c r="EG114" s="7"/>
      <c r="EH114" s="7"/>
    </row>
    <row r="115" spans="5:138" ht="15.6" x14ac:dyDescent="0.3"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20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/>
      <c r="BT115" s="7"/>
      <c r="BU115" s="7"/>
      <c r="BV115" s="7"/>
      <c r="BW115" s="7"/>
      <c r="BX115" s="7"/>
      <c r="BY115" s="7"/>
      <c r="BZ115" s="7"/>
      <c r="CA115" s="7"/>
      <c r="CB115" s="7"/>
      <c r="CC115" s="7"/>
      <c r="CD115" s="7"/>
      <c r="CE115" s="7"/>
      <c r="CF115" s="7"/>
      <c r="CG115" s="7"/>
      <c r="CH115" s="7"/>
      <c r="CI115" s="7"/>
      <c r="CJ115" s="7"/>
      <c r="CK115" s="7"/>
      <c r="CL115" s="7"/>
      <c r="CM115" s="7"/>
      <c r="CN115" s="7"/>
      <c r="CO115" s="7"/>
      <c r="CP115" s="7"/>
      <c r="CQ115" s="7"/>
      <c r="CR115" s="7"/>
      <c r="CS115" s="7"/>
      <c r="CT115" s="7"/>
      <c r="CU115" s="7"/>
      <c r="CV115" s="7"/>
      <c r="CW115" s="7"/>
      <c r="CX115" s="7"/>
      <c r="CY115" s="7"/>
      <c r="CZ115" s="7"/>
      <c r="DA115" s="7"/>
      <c r="DB115" s="7"/>
      <c r="DC115" s="7"/>
      <c r="DD115" s="7"/>
      <c r="DE115" s="7"/>
      <c r="DF115" s="7"/>
      <c r="DG115" s="7"/>
      <c r="DH115" s="7"/>
      <c r="DI115" s="7"/>
      <c r="DJ115" s="7"/>
      <c r="DK115" s="7"/>
      <c r="DL115" s="7"/>
      <c r="DM115" s="7"/>
      <c r="DN115" s="7"/>
      <c r="DO115" s="7"/>
      <c r="DP115" s="7"/>
      <c r="DQ115" s="7"/>
      <c r="DR115" s="7"/>
      <c r="DS115" s="7"/>
      <c r="DT115" s="7"/>
      <c r="DU115" s="7"/>
      <c r="DV115" s="7"/>
      <c r="DW115" s="7"/>
      <c r="DX115" s="7"/>
      <c r="DY115" s="7"/>
      <c r="DZ115" s="7"/>
      <c r="EA115" s="7"/>
      <c r="EB115" s="7"/>
      <c r="EC115" s="7"/>
      <c r="ED115" s="7"/>
      <c r="EE115" s="7"/>
      <c r="EF115" s="7"/>
      <c r="EG115" s="7"/>
      <c r="EH115" s="7"/>
    </row>
    <row r="116" spans="5:138" ht="15.6" x14ac:dyDescent="0.3"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20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7"/>
      <c r="BV116" s="7"/>
      <c r="BW116" s="7"/>
      <c r="BX116" s="7"/>
      <c r="BY116" s="7"/>
      <c r="BZ116" s="7"/>
      <c r="CA116" s="7"/>
      <c r="CB116" s="7"/>
      <c r="CC116" s="7"/>
      <c r="CD116" s="7"/>
      <c r="CE116" s="7"/>
      <c r="CF116" s="7"/>
      <c r="CG116" s="7"/>
      <c r="CH116" s="7"/>
      <c r="CI116" s="7"/>
      <c r="CJ116" s="7"/>
      <c r="CK116" s="7"/>
      <c r="CL116" s="7"/>
      <c r="CM116" s="7"/>
      <c r="CN116" s="7"/>
      <c r="CO116" s="7"/>
      <c r="CP116" s="7"/>
      <c r="CQ116" s="7"/>
      <c r="CR116" s="7"/>
      <c r="CS116" s="7"/>
      <c r="CT116" s="7"/>
      <c r="CU116" s="7"/>
      <c r="CV116" s="7"/>
      <c r="CW116" s="7"/>
      <c r="CX116" s="7"/>
      <c r="CY116" s="7"/>
      <c r="CZ116" s="7"/>
      <c r="DA116" s="7"/>
      <c r="DB116" s="7"/>
      <c r="DC116" s="7"/>
      <c r="DD116" s="7"/>
      <c r="DE116" s="7"/>
      <c r="DF116" s="7"/>
      <c r="DG116" s="7"/>
      <c r="DH116" s="7"/>
      <c r="DI116" s="7"/>
      <c r="DJ116" s="7"/>
      <c r="DK116" s="7"/>
      <c r="DL116" s="7"/>
      <c r="DM116" s="7"/>
      <c r="DN116" s="7"/>
      <c r="DO116" s="7"/>
      <c r="DP116" s="7"/>
      <c r="DQ116" s="7"/>
      <c r="DR116" s="7"/>
      <c r="DS116" s="7"/>
      <c r="DT116" s="7"/>
      <c r="DU116" s="7"/>
      <c r="DV116" s="7"/>
      <c r="DW116" s="7"/>
      <c r="DX116" s="7"/>
      <c r="DY116" s="7"/>
      <c r="DZ116" s="7"/>
      <c r="EA116" s="7"/>
      <c r="EB116" s="7"/>
      <c r="EC116" s="7"/>
      <c r="ED116" s="7"/>
      <c r="EE116" s="7"/>
      <c r="EF116" s="7"/>
      <c r="EG116" s="7"/>
      <c r="EH116" s="7"/>
    </row>
    <row r="117" spans="5:138" ht="15.6" x14ac:dyDescent="0.3"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20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7"/>
      <c r="BV117" s="7"/>
      <c r="BW117" s="7"/>
      <c r="BX117" s="7"/>
      <c r="BY117" s="7"/>
      <c r="BZ117" s="7"/>
      <c r="CA117" s="7"/>
      <c r="CB117" s="7"/>
      <c r="CC117" s="7"/>
      <c r="CD117" s="7"/>
      <c r="CE117" s="7"/>
      <c r="CF117" s="7"/>
      <c r="CG117" s="7"/>
      <c r="CH117" s="7"/>
      <c r="CI117" s="7"/>
      <c r="CJ117" s="7"/>
      <c r="CK117" s="7"/>
      <c r="CL117" s="7"/>
      <c r="CM117" s="7"/>
      <c r="CN117" s="7"/>
      <c r="CO117" s="7"/>
      <c r="CP117" s="7"/>
      <c r="CQ117" s="7"/>
      <c r="CR117" s="7"/>
      <c r="CS117" s="7"/>
      <c r="CT117" s="7"/>
      <c r="CU117" s="7"/>
      <c r="CV117" s="7"/>
      <c r="CW117" s="7"/>
      <c r="CX117" s="7"/>
      <c r="CY117" s="7"/>
      <c r="CZ117" s="7"/>
      <c r="DA117" s="7"/>
      <c r="DB117" s="7"/>
      <c r="DC117" s="7"/>
      <c r="DD117" s="7"/>
      <c r="DE117" s="7"/>
      <c r="DF117" s="7"/>
      <c r="DG117" s="7"/>
      <c r="DH117" s="7"/>
      <c r="DI117" s="7"/>
      <c r="DJ117" s="7"/>
      <c r="DK117" s="7"/>
      <c r="DL117" s="7"/>
      <c r="DM117" s="7"/>
      <c r="DN117" s="7"/>
      <c r="DO117" s="7"/>
      <c r="DP117" s="7"/>
      <c r="DQ117" s="7"/>
      <c r="DR117" s="7"/>
      <c r="DS117" s="7"/>
      <c r="DT117" s="7"/>
      <c r="DU117" s="7"/>
      <c r="DV117" s="7"/>
      <c r="DW117" s="7"/>
      <c r="DX117" s="7"/>
      <c r="DY117" s="7"/>
      <c r="DZ117" s="7"/>
      <c r="EA117" s="7"/>
      <c r="EB117" s="7"/>
      <c r="EC117" s="7"/>
      <c r="ED117" s="7"/>
      <c r="EE117" s="7"/>
      <c r="EF117" s="7"/>
      <c r="EG117" s="7"/>
      <c r="EH117" s="7"/>
    </row>
    <row r="118" spans="5:138" ht="15.6" x14ac:dyDescent="0.3"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20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7"/>
      <c r="BV118" s="7"/>
      <c r="BW118" s="7"/>
      <c r="BX118" s="7"/>
      <c r="BY118" s="7"/>
      <c r="BZ118" s="7"/>
      <c r="CA118" s="7"/>
      <c r="CB118" s="7"/>
      <c r="CC118" s="7"/>
      <c r="CD118" s="7"/>
      <c r="CE118" s="7"/>
      <c r="CF118" s="7"/>
      <c r="CG118" s="7"/>
      <c r="CH118" s="7"/>
      <c r="CI118" s="7"/>
      <c r="CJ118" s="7"/>
      <c r="CK118" s="7"/>
      <c r="CL118" s="7"/>
      <c r="CM118" s="7"/>
      <c r="CN118" s="7"/>
      <c r="CO118" s="7"/>
      <c r="CP118" s="7"/>
      <c r="CQ118" s="7"/>
      <c r="CR118" s="7"/>
      <c r="CS118" s="7"/>
      <c r="CT118" s="7"/>
      <c r="CU118" s="7"/>
      <c r="CV118" s="7"/>
      <c r="CW118" s="7"/>
      <c r="CX118" s="7"/>
      <c r="CY118" s="7"/>
      <c r="CZ118" s="7"/>
      <c r="DA118" s="7"/>
      <c r="DB118" s="7"/>
      <c r="DC118" s="7"/>
      <c r="DD118" s="7"/>
      <c r="DE118" s="7"/>
      <c r="DF118" s="7"/>
      <c r="DG118" s="7"/>
      <c r="DH118" s="7"/>
      <c r="DI118" s="7"/>
      <c r="DJ118" s="7"/>
      <c r="DK118" s="7"/>
      <c r="DL118" s="7"/>
      <c r="DM118" s="7"/>
      <c r="DN118" s="7"/>
      <c r="DO118" s="7"/>
      <c r="DP118" s="7"/>
      <c r="DQ118" s="7"/>
      <c r="DR118" s="7"/>
      <c r="DS118" s="7"/>
      <c r="DT118" s="7"/>
      <c r="DU118" s="7"/>
      <c r="DV118" s="7"/>
      <c r="DW118" s="7"/>
      <c r="DX118" s="7"/>
      <c r="DY118" s="7"/>
      <c r="DZ118" s="7"/>
      <c r="EA118" s="7"/>
      <c r="EB118" s="7"/>
      <c r="EC118" s="7"/>
      <c r="ED118" s="7"/>
      <c r="EE118" s="7"/>
      <c r="EF118" s="7"/>
      <c r="EG118" s="7"/>
      <c r="EH118" s="7"/>
    </row>
    <row r="119" spans="5:138" ht="15.6" x14ac:dyDescent="0.3"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20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/>
      <c r="BV119" s="7"/>
      <c r="BW119" s="7"/>
      <c r="BX119" s="7"/>
      <c r="BY119" s="7"/>
      <c r="BZ119" s="7"/>
      <c r="CA119" s="7"/>
      <c r="CB119" s="7"/>
      <c r="CC119" s="7"/>
      <c r="CD119" s="7"/>
      <c r="CE119" s="7"/>
      <c r="CF119" s="7"/>
      <c r="CG119" s="7"/>
      <c r="CH119" s="7"/>
      <c r="CI119" s="7"/>
      <c r="CJ119" s="7"/>
      <c r="CK119" s="7"/>
      <c r="CL119" s="7"/>
      <c r="CM119" s="7"/>
      <c r="CN119" s="7"/>
      <c r="CO119" s="7"/>
      <c r="CP119" s="7"/>
      <c r="CQ119" s="7"/>
      <c r="CR119" s="7"/>
      <c r="CS119" s="7"/>
      <c r="CT119" s="7"/>
      <c r="CU119" s="7"/>
      <c r="CV119" s="7"/>
      <c r="CW119" s="7"/>
      <c r="CX119" s="7"/>
      <c r="CY119" s="7"/>
      <c r="CZ119" s="7"/>
      <c r="DA119" s="7"/>
      <c r="DB119" s="7"/>
      <c r="DC119" s="7"/>
      <c r="DD119" s="7"/>
      <c r="DE119" s="7"/>
      <c r="DF119" s="7"/>
      <c r="DG119" s="7"/>
      <c r="DH119" s="7"/>
      <c r="DI119" s="7"/>
      <c r="DJ119" s="7"/>
      <c r="DK119" s="7"/>
      <c r="DL119" s="7"/>
      <c r="DM119" s="7"/>
      <c r="DN119" s="7"/>
      <c r="DO119" s="7"/>
      <c r="DP119" s="7"/>
      <c r="DQ119" s="7"/>
      <c r="DR119" s="7"/>
      <c r="DS119" s="7"/>
      <c r="DT119" s="7"/>
      <c r="DU119" s="7"/>
      <c r="DV119" s="7"/>
      <c r="DW119" s="7"/>
      <c r="DX119" s="7"/>
      <c r="DY119" s="7"/>
      <c r="DZ119" s="7"/>
      <c r="EA119" s="7"/>
      <c r="EB119" s="7"/>
      <c r="EC119" s="7"/>
      <c r="ED119" s="7"/>
      <c r="EE119" s="7"/>
      <c r="EF119" s="7"/>
      <c r="EG119" s="7"/>
      <c r="EH119" s="7"/>
    </row>
    <row r="120" spans="5:138" ht="15.6" x14ac:dyDescent="0.3"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20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7"/>
      <c r="BV120" s="7"/>
      <c r="BW120" s="7"/>
      <c r="BX120" s="7"/>
      <c r="BY120" s="7"/>
      <c r="BZ120" s="7"/>
      <c r="CA120" s="7"/>
      <c r="CB120" s="7"/>
      <c r="CC120" s="7"/>
      <c r="CD120" s="7"/>
      <c r="CE120" s="7"/>
      <c r="CF120" s="7"/>
      <c r="CG120" s="7"/>
      <c r="CH120" s="7"/>
      <c r="CI120" s="7"/>
      <c r="CJ120" s="7"/>
      <c r="CK120" s="7"/>
      <c r="CL120" s="7"/>
      <c r="CM120" s="7"/>
      <c r="CN120" s="7"/>
      <c r="CO120" s="7"/>
      <c r="CP120" s="7"/>
      <c r="CQ120" s="7"/>
      <c r="CR120" s="7"/>
      <c r="CS120" s="7"/>
      <c r="CT120" s="7"/>
      <c r="CU120" s="7"/>
      <c r="CV120" s="7"/>
      <c r="CW120" s="7"/>
      <c r="CX120" s="7"/>
      <c r="CY120" s="7"/>
      <c r="CZ120" s="7"/>
      <c r="DA120" s="7"/>
      <c r="DB120" s="7"/>
      <c r="DC120" s="7"/>
      <c r="DD120" s="7"/>
      <c r="DE120" s="7"/>
      <c r="DF120" s="7"/>
      <c r="DG120" s="7"/>
      <c r="DH120" s="7"/>
      <c r="DI120" s="7"/>
      <c r="DJ120" s="7"/>
      <c r="DK120" s="7"/>
      <c r="DL120" s="7"/>
      <c r="DM120" s="7"/>
      <c r="DN120" s="7"/>
      <c r="DO120" s="7"/>
      <c r="DP120" s="7"/>
      <c r="DQ120" s="7"/>
      <c r="DR120" s="7"/>
      <c r="DS120" s="7"/>
      <c r="DT120" s="7"/>
      <c r="DU120" s="7"/>
      <c r="DV120" s="7"/>
      <c r="DW120" s="7"/>
      <c r="DX120" s="7"/>
      <c r="DY120" s="7"/>
      <c r="DZ120" s="7"/>
      <c r="EA120" s="7"/>
      <c r="EB120" s="7"/>
      <c r="EC120" s="7"/>
      <c r="ED120" s="7"/>
      <c r="EE120" s="7"/>
      <c r="EF120" s="7"/>
      <c r="EG120" s="7"/>
      <c r="EH120" s="7"/>
    </row>
    <row r="121" spans="5:138" ht="15.6" x14ac:dyDescent="0.3"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20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7"/>
      <c r="BV121" s="7"/>
      <c r="BW121" s="7"/>
      <c r="BX121" s="7"/>
      <c r="BY121" s="7"/>
      <c r="BZ121" s="7"/>
      <c r="CA121" s="7"/>
      <c r="CB121" s="7"/>
      <c r="CC121" s="7"/>
      <c r="CD121" s="7"/>
      <c r="CE121" s="7"/>
      <c r="CF121" s="7"/>
      <c r="CG121" s="7"/>
      <c r="CH121" s="7"/>
      <c r="CI121" s="7"/>
      <c r="CJ121" s="7"/>
      <c r="CK121" s="7"/>
      <c r="CL121" s="7"/>
      <c r="CM121" s="7"/>
      <c r="CN121" s="7"/>
      <c r="CO121" s="7"/>
      <c r="CP121" s="7"/>
      <c r="CQ121" s="7"/>
      <c r="CR121" s="7"/>
      <c r="CS121" s="7"/>
      <c r="CT121" s="7"/>
      <c r="CU121" s="7"/>
      <c r="CV121" s="7"/>
      <c r="CW121" s="7"/>
      <c r="CX121" s="7"/>
      <c r="CY121" s="7"/>
      <c r="CZ121" s="7"/>
      <c r="DA121" s="7"/>
      <c r="DB121" s="7"/>
      <c r="DC121" s="7"/>
      <c r="DD121" s="7"/>
      <c r="DE121" s="7"/>
      <c r="DF121" s="7"/>
      <c r="DG121" s="7"/>
      <c r="DH121" s="7"/>
      <c r="DI121" s="7"/>
      <c r="DJ121" s="7"/>
      <c r="DK121" s="7"/>
      <c r="DL121" s="7"/>
      <c r="DM121" s="7"/>
      <c r="DN121" s="7"/>
      <c r="DO121" s="7"/>
      <c r="DP121" s="7"/>
      <c r="DQ121" s="7"/>
      <c r="DR121" s="7"/>
      <c r="DS121" s="7"/>
      <c r="DT121" s="7"/>
      <c r="DU121" s="7"/>
      <c r="DV121" s="7"/>
      <c r="DW121" s="7"/>
      <c r="DX121" s="7"/>
      <c r="DY121" s="7"/>
      <c r="DZ121" s="7"/>
      <c r="EA121" s="7"/>
      <c r="EB121" s="7"/>
      <c r="EC121" s="7"/>
      <c r="ED121" s="7"/>
      <c r="EE121" s="7"/>
      <c r="EF121" s="7"/>
      <c r="EG121" s="7"/>
      <c r="EH121" s="7"/>
    </row>
    <row r="122" spans="5:138" ht="15.6" x14ac:dyDescent="0.3"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20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7"/>
      <c r="BV122" s="7"/>
      <c r="BW122" s="7"/>
      <c r="BX122" s="7"/>
      <c r="BY122" s="7"/>
      <c r="BZ122" s="7"/>
      <c r="CA122" s="7"/>
      <c r="CB122" s="7"/>
      <c r="CC122" s="7"/>
      <c r="CD122" s="7"/>
      <c r="CE122" s="7"/>
      <c r="CF122" s="7"/>
      <c r="CG122" s="7"/>
      <c r="CH122" s="7"/>
      <c r="CI122" s="7"/>
      <c r="CJ122" s="7"/>
      <c r="CK122" s="7"/>
      <c r="CL122" s="7"/>
      <c r="CM122" s="7"/>
      <c r="CN122" s="7"/>
      <c r="CO122" s="7"/>
      <c r="CP122" s="7"/>
      <c r="CQ122" s="7"/>
      <c r="CR122" s="7"/>
      <c r="CS122" s="7"/>
      <c r="CT122" s="7"/>
      <c r="CU122" s="7"/>
      <c r="CV122" s="7"/>
      <c r="CW122" s="7"/>
      <c r="CX122" s="7"/>
      <c r="CY122" s="7"/>
      <c r="CZ122" s="7"/>
      <c r="DA122" s="7"/>
      <c r="DB122" s="7"/>
      <c r="DC122" s="7"/>
      <c r="DD122" s="7"/>
      <c r="DE122" s="7"/>
      <c r="DF122" s="7"/>
      <c r="DG122" s="7"/>
      <c r="DH122" s="7"/>
      <c r="DI122" s="7"/>
      <c r="DJ122" s="7"/>
      <c r="DK122" s="7"/>
      <c r="DL122" s="7"/>
      <c r="DM122" s="7"/>
      <c r="DN122" s="7"/>
      <c r="DO122" s="7"/>
      <c r="DP122" s="7"/>
      <c r="DQ122" s="7"/>
      <c r="DR122" s="7"/>
      <c r="DS122" s="7"/>
      <c r="DT122" s="7"/>
      <c r="DU122" s="7"/>
      <c r="DV122" s="7"/>
      <c r="DW122" s="7"/>
      <c r="DX122" s="7"/>
      <c r="DY122" s="7"/>
      <c r="DZ122" s="7"/>
      <c r="EA122" s="7"/>
      <c r="EB122" s="7"/>
      <c r="EC122" s="7"/>
      <c r="ED122" s="7"/>
      <c r="EE122" s="7"/>
      <c r="EF122" s="7"/>
      <c r="EG122" s="7"/>
      <c r="EH122" s="7"/>
    </row>
    <row r="123" spans="5:138" ht="15.6" x14ac:dyDescent="0.3"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20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7"/>
      <c r="BV123" s="7"/>
      <c r="BW123" s="7"/>
      <c r="BX123" s="7"/>
      <c r="BY123" s="7"/>
      <c r="BZ123" s="7"/>
      <c r="CA123" s="7"/>
      <c r="CB123" s="7"/>
      <c r="CC123" s="7"/>
      <c r="CD123" s="7"/>
      <c r="CE123" s="7"/>
      <c r="CF123" s="7"/>
      <c r="CG123" s="7"/>
      <c r="CH123" s="7"/>
      <c r="CI123" s="7"/>
      <c r="CJ123" s="7"/>
      <c r="CK123" s="7"/>
      <c r="CL123" s="7"/>
      <c r="CM123" s="7"/>
      <c r="CN123" s="7"/>
      <c r="CO123" s="7"/>
      <c r="CP123" s="7"/>
      <c r="CQ123" s="7"/>
      <c r="CR123" s="7"/>
      <c r="CS123" s="7"/>
      <c r="CT123" s="7"/>
      <c r="CU123" s="7"/>
      <c r="CV123" s="7"/>
      <c r="CW123" s="7"/>
      <c r="CX123" s="7"/>
      <c r="CY123" s="7"/>
      <c r="CZ123" s="7"/>
      <c r="DA123" s="7"/>
      <c r="DB123" s="7"/>
      <c r="DC123" s="7"/>
      <c r="DD123" s="7"/>
      <c r="DE123" s="7"/>
      <c r="DF123" s="7"/>
      <c r="DG123" s="7"/>
      <c r="DH123" s="7"/>
      <c r="DI123" s="7"/>
      <c r="DJ123" s="7"/>
      <c r="DK123" s="7"/>
      <c r="DL123" s="7"/>
      <c r="DM123" s="7"/>
      <c r="DN123" s="7"/>
      <c r="DO123" s="7"/>
      <c r="DP123" s="7"/>
      <c r="DQ123" s="7"/>
      <c r="DR123" s="7"/>
      <c r="DS123" s="7"/>
      <c r="DT123" s="7"/>
      <c r="DU123" s="7"/>
      <c r="DV123" s="7"/>
      <c r="DW123" s="7"/>
      <c r="DX123" s="7"/>
      <c r="DY123" s="7"/>
      <c r="DZ123" s="7"/>
      <c r="EA123" s="7"/>
      <c r="EB123" s="7"/>
      <c r="EC123" s="7"/>
      <c r="ED123" s="7"/>
      <c r="EE123" s="7"/>
      <c r="EF123" s="7"/>
      <c r="EG123" s="7"/>
      <c r="EH123" s="7"/>
    </row>
    <row r="124" spans="5:138" ht="15.6" x14ac:dyDescent="0.3"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20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7"/>
      <c r="BV124" s="7"/>
      <c r="BW124" s="7"/>
      <c r="BX124" s="7"/>
      <c r="BY124" s="7"/>
      <c r="BZ124" s="7"/>
      <c r="CA124" s="7"/>
      <c r="CB124" s="7"/>
      <c r="CC124" s="7"/>
      <c r="CD124" s="7"/>
      <c r="CE124" s="7"/>
      <c r="CF124" s="7"/>
      <c r="CG124" s="7"/>
      <c r="CH124" s="7"/>
      <c r="CI124" s="7"/>
      <c r="CJ124" s="7"/>
      <c r="CK124" s="7"/>
      <c r="CL124" s="7"/>
      <c r="CM124" s="7"/>
      <c r="CN124" s="7"/>
      <c r="CO124" s="7"/>
      <c r="CP124" s="7"/>
      <c r="CQ124" s="7"/>
      <c r="CR124" s="7"/>
      <c r="CS124" s="7"/>
      <c r="CT124" s="7"/>
      <c r="CU124" s="7"/>
      <c r="CV124" s="7"/>
      <c r="CW124" s="7"/>
      <c r="CX124" s="7"/>
      <c r="CY124" s="7"/>
      <c r="CZ124" s="7"/>
      <c r="DA124" s="7"/>
      <c r="DB124" s="7"/>
      <c r="DC124" s="7"/>
      <c r="DD124" s="7"/>
      <c r="DE124" s="7"/>
      <c r="DF124" s="7"/>
      <c r="DG124" s="7"/>
      <c r="DH124" s="7"/>
      <c r="DI124" s="7"/>
      <c r="DJ124" s="7"/>
      <c r="DK124" s="7"/>
      <c r="DL124" s="7"/>
      <c r="DM124" s="7"/>
      <c r="DN124" s="7"/>
      <c r="DO124" s="7"/>
      <c r="DP124" s="7"/>
      <c r="DQ124" s="7"/>
      <c r="DR124" s="7"/>
      <c r="DS124" s="7"/>
      <c r="DT124" s="7"/>
      <c r="DU124" s="7"/>
      <c r="DV124" s="7"/>
      <c r="DW124" s="7"/>
      <c r="DX124" s="7"/>
      <c r="DY124" s="7"/>
      <c r="DZ124" s="7"/>
      <c r="EA124" s="7"/>
      <c r="EB124" s="7"/>
      <c r="EC124" s="7"/>
      <c r="ED124" s="7"/>
      <c r="EE124" s="7"/>
      <c r="EF124" s="7"/>
      <c r="EG124" s="7"/>
      <c r="EH124" s="7"/>
    </row>
    <row r="125" spans="5:138" ht="15.6" x14ac:dyDescent="0.3"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20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7"/>
      <c r="BW125" s="7"/>
      <c r="BX125" s="7"/>
      <c r="BY125" s="7"/>
      <c r="BZ125" s="7"/>
      <c r="CA125" s="7"/>
      <c r="CB125" s="7"/>
      <c r="CC125" s="7"/>
      <c r="CD125" s="7"/>
      <c r="CE125" s="7"/>
      <c r="CF125" s="7"/>
      <c r="CG125" s="7"/>
      <c r="CH125" s="7"/>
      <c r="CI125" s="7"/>
      <c r="CJ125" s="7"/>
      <c r="CK125" s="7"/>
      <c r="CL125" s="7"/>
      <c r="CM125" s="7"/>
      <c r="CN125" s="7"/>
      <c r="CO125" s="7"/>
      <c r="CP125" s="7"/>
      <c r="CQ125" s="7"/>
      <c r="CR125" s="7"/>
      <c r="CS125" s="7"/>
      <c r="CT125" s="7"/>
      <c r="CU125" s="7"/>
      <c r="CV125" s="7"/>
      <c r="CW125" s="7"/>
      <c r="CX125" s="7"/>
      <c r="CY125" s="7"/>
      <c r="CZ125" s="7"/>
      <c r="DA125" s="7"/>
      <c r="DB125" s="7"/>
      <c r="DC125" s="7"/>
      <c r="DD125" s="7"/>
      <c r="DE125" s="7"/>
      <c r="DF125" s="7"/>
      <c r="DG125" s="7"/>
      <c r="DH125" s="7"/>
      <c r="DI125" s="7"/>
      <c r="DJ125" s="7"/>
      <c r="DK125" s="7"/>
      <c r="DL125" s="7"/>
      <c r="DM125" s="7"/>
      <c r="DN125" s="7"/>
      <c r="DO125" s="7"/>
      <c r="DP125" s="7"/>
      <c r="DQ125" s="7"/>
      <c r="DR125" s="7"/>
      <c r="DS125" s="7"/>
      <c r="DT125" s="7"/>
      <c r="DU125" s="7"/>
      <c r="DV125" s="7"/>
      <c r="DW125" s="7"/>
      <c r="DX125" s="7"/>
      <c r="DY125" s="7"/>
      <c r="DZ125" s="7"/>
      <c r="EA125" s="7"/>
      <c r="EB125" s="7"/>
      <c r="EC125" s="7"/>
      <c r="ED125" s="7"/>
      <c r="EE125" s="7"/>
      <c r="EF125" s="7"/>
      <c r="EG125" s="7"/>
      <c r="EH125" s="7"/>
    </row>
    <row r="126" spans="5:138" ht="15.6" x14ac:dyDescent="0.3"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20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7"/>
      <c r="BV126" s="7"/>
      <c r="BW126" s="7"/>
      <c r="BX126" s="7"/>
      <c r="BY126" s="7"/>
      <c r="BZ126" s="7"/>
      <c r="CA126" s="7"/>
      <c r="CB126" s="7"/>
      <c r="CC126" s="7"/>
      <c r="CD126" s="7"/>
      <c r="CE126" s="7"/>
      <c r="CF126" s="7"/>
      <c r="CG126" s="7"/>
      <c r="CH126" s="7"/>
      <c r="CI126" s="7"/>
      <c r="CJ126" s="7"/>
      <c r="CK126" s="7"/>
      <c r="CL126" s="7"/>
      <c r="CM126" s="7"/>
      <c r="CN126" s="7"/>
      <c r="CO126" s="7"/>
      <c r="CP126" s="7"/>
      <c r="CQ126" s="7"/>
      <c r="CR126" s="7"/>
      <c r="CS126" s="7"/>
      <c r="CT126" s="7"/>
      <c r="CU126" s="7"/>
      <c r="CV126" s="7"/>
      <c r="CW126" s="7"/>
      <c r="CX126" s="7"/>
      <c r="CY126" s="7"/>
      <c r="CZ126" s="7"/>
      <c r="DA126" s="7"/>
      <c r="DB126" s="7"/>
      <c r="DC126" s="7"/>
      <c r="DD126" s="7"/>
      <c r="DE126" s="7"/>
      <c r="DF126" s="7"/>
      <c r="DG126" s="7"/>
      <c r="DH126" s="7"/>
      <c r="DI126" s="7"/>
      <c r="DJ126" s="7"/>
      <c r="DK126" s="7"/>
      <c r="DL126" s="7"/>
      <c r="DM126" s="7"/>
      <c r="DN126" s="7"/>
      <c r="DO126" s="7"/>
      <c r="DP126" s="7"/>
      <c r="DQ126" s="7"/>
      <c r="DR126" s="7"/>
      <c r="DS126" s="7"/>
      <c r="DT126" s="7"/>
      <c r="DU126" s="7"/>
      <c r="DV126" s="7"/>
      <c r="DW126" s="7"/>
      <c r="DX126" s="7"/>
      <c r="DY126" s="7"/>
      <c r="DZ126" s="7"/>
      <c r="EA126" s="7"/>
      <c r="EB126" s="7"/>
      <c r="EC126" s="7"/>
      <c r="ED126" s="7"/>
      <c r="EE126" s="7"/>
      <c r="EF126" s="7"/>
      <c r="EG126" s="7"/>
      <c r="EH126" s="7"/>
    </row>
    <row r="127" spans="5:138" ht="15.6" x14ac:dyDescent="0.3"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20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7"/>
      <c r="BV127" s="7"/>
      <c r="BW127" s="7"/>
      <c r="BX127" s="7"/>
      <c r="BY127" s="7"/>
      <c r="BZ127" s="7"/>
      <c r="CA127" s="7"/>
      <c r="CB127" s="7"/>
      <c r="CC127" s="7"/>
      <c r="CD127" s="7"/>
      <c r="CE127" s="7"/>
      <c r="CF127" s="7"/>
      <c r="CG127" s="7"/>
      <c r="CH127" s="7"/>
      <c r="CI127" s="7"/>
      <c r="CJ127" s="7"/>
      <c r="CK127" s="7"/>
      <c r="CL127" s="7"/>
      <c r="CM127" s="7"/>
      <c r="CN127" s="7"/>
      <c r="CO127" s="7"/>
      <c r="CP127" s="7"/>
      <c r="CQ127" s="7"/>
      <c r="CR127" s="7"/>
      <c r="CS127" s="7"/>
      <c r="CT127" s="7"/>
      <c r="CU127" s="7"/>
      <c r="CV127" s="7"/>
      <c r="CW127" s="7"/>
      <c r="CX127" s="7"/>
      <c r="CY127" s="7"/>
      <c r="CZ127" s="7"/>
      <c r="DA127" s="7"/>
      <c r="DB127" s="7"/>
      <c r="DC127" s="7"/>
      <c r="DD127" s="7"/>
      <c r="DE127" s="7"/>
      <c r="DF127" s="7"/>
      <c r="DG127" s="7"/>
      <c r="DH127" s="7"/>
      <c r="DI127" s="7"/>
      <c r="DJ127" s="7"/>
      <c r="DK127" s="7"/>
      <c r="DL127" s="7"/>
      <c r="DM127" s="7"/>
      <c r="DN127" s="7"/>
      <c r="DO127" s="7"/>
      <c r="DP127" s="7"/>
      <c r="DQ127" s="7"/>
      <c r="DR127" s="7"/>
      <c r="DS127" s="7"/>
      <c r="DT127" s="7"/>
      <c r="DU127" s="7"/>
      <c r="DV127" s="7"/>
      <c r="DW127" s="7"/>
      <c r="DX127" s="7"/>
      <c r="DY127" s="7"/>
      <c r="DZ127" s="7"/>
      <c r="EA127" s="7"/>
      <c r="EB127" s="7"/>
      <c r="EC127" s="7"/>
      <c r="ED127" s="7"/>
      <c r="EE127" s="7"/>
      <c r="EF127" s="7"/>
      <c r="EG127" s="7"/>
      <c r="EH127" s="7"/>
    </row>
    <row r="128" spans="5:138" ht="15.6" x14ac:dyDescent="0.3"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20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7"/>
      <c r="BV128" s="7"/>
      <c r="BW128" s="7"/>
      <c r="BX128" s="7"/>
      <c r="BY128" s="7"/>
      <c r="BZ128" s="7"/>
      <c r="CA128" s="7"/>
      <c r="CB128" s="7"/>
      <c r="CC128" s="7"/>
      <c r="CD128" s="7"/>
      <c r="CE128" s="7"/>
      <c r="CF128" s="7"/>
      <c r="CG128" s="7"/>
      <c r="CH128" s="7"/>
      <c r="CI128" s="7"/>
      <c r="CJ128" s="7"/>
      <c r="CK128" s="7"/>
      <c r="CL128" s="7"/>
      <c r="CM128" s="7"/>
      <c r="CN128" s="7"/>
      <c r="CO128" s="7"/>
      <c r="CP128" s="7"/>
      <c r="CQ128" s="7"/>
      <c r="CR128" s="7"/>
      <c r="CS128" s="7"/>
      <c r="CT128" s="7"/>
      <c r="CU128" s="7"/>
      <c r="CV128" s="7"/>
      <c r="CW128" s="7"/>
      <c r="CX128" s="7"/>
      <c r="CY128" s="7"/>
      <c r="CZ128" s="7"/>
      <c r="DA128" s="7"/>
      <c r="DB128" s="7"/>
      <c r="DC128" s="7"/>
      <c r="DD128" s="7"/>
      <c r="DE128" s="7"/>
      <c r="DF128" s="7"/>
      <c r="DG128" s="7"/>
      <c r="DH128" s="7"/>
      <c r="DI128" s="7"/>
      <c r="DJ128" s="7"/>
      <c r="DK128" s="7"/>
      <c r="DL128" s="7"/>
      <c r="DM128" s="7"/>
      <c r="DN128" s="7"/>
      <c r="DO128" s="7"/>
      <c r="DP128" s="7"/>
      <c r="DQ128" s="7"/>
      <c r="DR128" s="7"/>
      <c r="DS128" s="7"/>
      <c r="DT128" s="7"/>
      <c r="DU128" s="7"/>
      <c r="DV128" s="7"/>
      <c r="DW128" s="7"/>
      <c r="DX128" s="7"/>
      <c r="DY128" s="7"/>
      <c r="DZ128" s="7"/>
      <c r="EA128" s="7"/>
      <c r="EB128" s="7"/>
      <c r="EC128" s="7"/>
      <c r="ED128" s="7"/>
      <c r="EE128" s="7"/>
      <c r="EF128" s="7"/>
      <c r="EG128" s="7"/>
      <c r="EH128" s="7"/>
    </row>
    <row r="129" spans="5:138" ht="15.6" x14ac:dyDescent="0.3"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20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7"/>
      <c r="BV129" s="7"/>
      <c r="BW129" s="7"/>
      <c r="BX129" s="7"/>
      <c r="BY129" s="7"/>
      <c r="BZ129" s="7"/>
      <c r="CA129" s="7"/>
      <c r="CB129" s="7"/>
      <c r="CC129" s="7"/>
      <c r="CD129" s="7"/>
      <c r="CE129" s="7"/>
      <c r="CF129" s="7"/>
      <c r="CG129" s="7"/>
      <c r="CH129" s="7"/>
      <c r="CI129" s="7"/>
      <c r="CJ129" s="7"/>
      <c r="CK129" s="7"/>
      <c r="CL129" s="7"/>
      <c r="CM129" s="7"/>
      <c r="CN129" s="7"/>
      <c r="CO129" s="7"/>
      <c r="CP129" s="7"/>
      <c r="CQ129" s="7"/>
      <c r="CR129" s="7"/>
      <c r="CS129" s="7"/>
      <c r="CT129" s="7"/>
      <c r="CU129" s="7"/>
      <c r="CV129" s="7"/>
      <c r="CW129" s="7"/>
      <c r="CX129" s="7"/>
      <c r="CY129" s="7"/>
      <c r="CZ129" s="7"/>
      <c r="DA129" s="7"/>
      <c r="DB129" s="7"/>
      <c r="DC129" s="7"/>
      <c r="DD129" s="7"/>
      <c r="DE129" s="7"/>
      <c r="DF129" s="7"/>
      <c r="DG129" s="7"/>
      <c r="DH129" s="7"/>
      <c r="DI129" s="7"/>
      <c r="DJ129" s="7"/>
      <c r="DK129" s="7"/>
      <c r="DL129" s="7"/>
      <c r="DM129" s="7"/>
      <c r="DN129" s="7"/>
      <c r="DO129" s="7"/>
      <c r="DP129" s="7"/>
      <c r="DQ129" s="7"/>
      <c r="DR129" s="7"/>
      <c r="DS129" s="7"/>
      <c r="DT129" s="7"/>
      <c r="DU129" s="7"/>
      <c r="DV129" s="7"/>
      <c r="DW129" s="7"/>
      <c r="DX129" s="7"/>
      <c r="DY129" s="7"/>
      <c r="DZ129" s="7"/>
      <c r="EA129" s="7"/>
      <c r="EB129" s="7"/>
      <c r="EC129" s="7"/>
      <c r="ED129" s="7"/>
      <c r="EE129" s="7"/>
      <c r="EF129" s="7"/>
      <c r="EG129" s="7"/>
      <c r="EH129" s="7"/>
    </row>
    <row r="130" spans="5:138" ht="15.6" x14ac:dyDescent="0.3"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20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  <c r="BE130" s="7"/>
      <c r="BF130" s="7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7"/>
      <c r="BV130" s="7"/>
      <c r="BW130" s="7"/>
      <c r="BX130" s="7"/>
      <c r="BY130" s="7"/>
      <c r="BZ130" s="7"/>
      <c r="CA130" s="7"/>
      <c r="CB130" s="7"/>
      <c r="CC130" s="7"/>
      <c r="CD130" s="7"/>
      <c r="CE130" s="7"/>
      <c r="CF130" s="7"/>
      <c r="CG130" s="7"/>
      <c r="CH130" s="7"/>
      <c r="CI130" s="7"/>
      <c r="CJ130" s="7"/>
      <c r="CK130" s="7"/>
      <c r="CL130" s="7"/>
      <c r="CM130" s="7"/>
      <c r="CN130" s="7"/>
      <c r="CO130" s="7"/>
      <c r="CP130" s="7"/>
      <c r="CQ130" s="7"/>
      <c r="CR130" s="7"/>
      <c r="CS130" s="7"/>
      <c r="CT130" s="7"/>
      <c r="CU130" s="7"/>
      <c r="CV130" s="7"/>
      <c r="CW130" s="7"/>
      <c r="CX130" s="7"/>
      <c r="CY130" s="7"/>
      <c r="CZ130" s="7"/>
      <c r="DA130" s="7"/>
      <c r="DB130" s="7"/>
      <c r="DC130" s="7"/>
      <c r="DD130" s="7"/>
      <c r="DE130" s="7"/>
      <c r="DF130" s="7"/>
      <c r="DG130" s="7"/>
      <c r="DH130" s="7"/>
      <c r="DI130" s="7"/>
      <c r="DJ130" s="7"/>
      <c r="DK130" s="7"/>
      <c r="DL130" s="7"/>
      <c r="DM130" s="7"/>
      <c r="DN130" s="7"/>
      <c r="DO130" s="7"/>
      <c r="DP130" s="7"/>
      <c r="DQ130" s="7"/>
      <c r="DR130" s="7"/>
      <c r="DS130" s="7"/>
      <c r="DT130" s="7"/>
      <c r="DU130" s="7"/>
      <c r="DV130" s="7"/>
      <c r="DW130" s="7"/>
      <c r="DX130" s="7"/>
      <c r="DY130" s="7"/>
      <c r="DZ130" s="7"/>
      <c r="EA130" s="7"/>
      <c r="EB130" s="7"/>
      <c r="EC130" s="7"/>
      <c r="ED130" s="7"/>
      <c r="EE130" s="7"/>
      <c r="EF130" s="7"/>
      <c r="EG130" s="7"/>
      <c r="EH130" s="7"/>
    </row>
    <row r="131" spans="5:138" ht="15.6" x14ac:dyDescent="0.3"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20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7"/>
      <c r="BV131" s="7"/>
      <c r="BW131" s="7"/>
      <c r="BX131" s="7"/>
      <c r="BY131" s="7"/>
      <c r="BZ131" s="7"/>
      <c r="CA131" s="7"/>
      <c r="CB131" s="7"/>
      <c r="CC131" s="7"/>
      <c r="CD131" s="7"/>
      <c r="CE131" s="7"/>
      <c r="CF131" s="7"/>
      <c r="CG131" s="7"/>
      <c r="CH131" s="7"/>
      <c r="CI131" s="7"/>
      <c r="CJ131" s="7"/>
      <c r="CK131" s="7"/>
      <c r="CL131" s="7"/>
      <c r="CM131" s="7"/>
      <c r="CN131" s="7"/>
      <c r="CO131" s="7"/>
      <c r="CP131" s="7"/>
      <c r="CQ131" s="7"/>
      <c r="CR131" s="7"/>
      <c r="CS131" s="7"/>
      <c r="CT131" s="7"/>
      <c r="CU131" s="7"/>
      <c r="CV131" s="7"/>
      <c r="CW131" s="7"/>
      <c r="CX131" s="7"/>
      <c r="CY131" s="7"/>
      <c r="CZ131" s="7"/>
      <c r="DA131" s="7"/>
      <c r="DB131" s="7"/>
      <c r="DC131" s="7"/>
      <c r="DD131" s="7"/>
      <c r="DE131" s="7"/>
      <c r="DF131" s="7"/>
      <c r="DG131" s="7"/>
      <c r="DH131" s="7"/>
      <c r="DI131" s="7"/>
      <c r="DJ131" s="7"/>
      <c r="DK131" s="7"/>
      <c r="DL131" s="7"/>
      <c r="DM131" s="7"/>
      <c r="DN131" s="7"/>
      <c r="DO131" s="7"/>
      <c r="DP131" s="7"/>
      <c r="DQ131" s="7"/>
      <c r="DR131" s="7"/>
      <c r="DS131" s="7"/>
      <c r="DT131" s="7"/>
      <c r="DU131" s="7"/>
      <c r="DV131" s="7"/>
      <c r="DW131" s="7"/>
      <c r="DX131" s="7"/>
      <c r="DY131" s="7"/>
      <c r="DZ131" s="7"/>
      <c r="EA131" s="7"/>
      <c r="EB131" s="7"/>
      <c r="EC131" s="7"/>
      <c r="ED131" s="7"/>
      <c r="EE131" s="7"/>
      <c r="EF131" s="7"/>
      <c r="EG131" s="7"/>
      <c r="EH131" s="7"/>
    </row>
    <row r="132" spans="5:138" ht="15.6" x14ac:dyDescent="0.3"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20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7"/>
      <c r="BV132" s="7"/>
      <c r="BW132" s="7"/>
      <c r="BX132" s="7"/>
      <c r="BY132" s="7"/>
      <c r="BZ132" s="7"/>
      <c r="CA132" s="7"/>
      <c r="CB132" s="7"/>
      <c r="CC132" s="7"/>
      <c r="CD132" s="7"/>
      <c r="CE132" s="7"/>
      <c r="CF132" s="7"/>
      <c r="CG132" s="7"/>
      <c r="CH132" s="7"/>
      <c r="CI132" s="7"/>
      <c r="CJ132" s="7"/>
      <c r="CK132" s="7"/>
      <c r="CL132" s="7"/>
      <c r="CM132" s="7"/>
      <c r="CN132" s="7"/>
      <c r="CO132" s="7"/>
      <c r="CP132" s="7"/>
      <c r="CQ132" s="7"/>
      <c r="CR132" s="7"/>
      <c r="CS132" s="7"/>
      <c r="CT132" s="7"/>
      <c r="CU132" s="7"/>
      <c r="CV132" s="7"/>
      <c r="CW132" s="7"/>
      <c r="CX132" s="7"/>
      <c r="CY132" s="7"/>
      <c r="CZ132" s="7"/>
      <c r="DA132" s="7"/>
      <c r="DB132" s="7"/>
      <c r="DC132" s="7"/>
      <c r="DD132" s="7"/>
      <c r="DE132" s="7"/>
      <c r="DF132" s="7"/>
      <c r="DG132" s="7"/>
      <c r="DH132" s="7"/>
      <c r="DI132" s="7"/>
      <c r="DJ132" s="7"/>
      <c r="DK132" s="7"/>
      <c r="DL132" s="7"/>
      <c r="DM132" s="7"/>
      <c r="DN132" s="7"/>
      <c r="DO132" s="7"/>
      <c r="DP132" s="7"/>
      <c r="DQ132" s="7"/>
      <c r="DR132" s="7"/>
      <c r="DS132" s="7"/>
      <c r="DT132" s="7"/>
      <c r="DU132" s="7"/>
      <c r="DV132" s="7"/>
      <c r="DW132" s="7"/>
      <c r="DX132" s="7"/>
      <c r="DY132" s="7"/>
      <c r="DZ132" s="7"/>
      <c r="EA132" s="7"/>
      <c r="EB132" s="7"/>
      <c r="EC132" s="7"/>
      <c r="ED132" s="7"/>
      <c r="EE132" s="7"/>
      <c r="EF132" s="7"/>
      <c r="EG132" s="7"/>
      <c r="EH132" s="7"/>
    </row>
    <row r="133" spans="5:138" ht="15.6" x14ac:dyDescent="0.3"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20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7"/>
      <c r="BV133" s="7"/>
      <c r="BW133" s="7"/>
      <c r="BX133" s="7"/>
      <c r="BY133" s="7"/>
      <c r="BZ133" s="7"/>
      <c r="CA133" s="7"/>
      <c r="CB133" s="7"/>
      <c r="CC133" s="7"/>
      <c r="CD133" s="7"/>
      <c r="CE133" s="7"/>
      <c r="CF133" s="7"/>
      <c r="CG133" s="7"/>
      <c r="CH133" s="7"/>
      <c r="CI133" s="7"/>
      <c r="CJ133" s="7"/>
      <c r="CK133" s="7"/>
      <c r="CL133" s="7"/>
      <c r="CM133" s="7"/>
      <c r="CN133" s="7"/>
      <c r="CO133" s="7"/>
      <c r="CP133" s="7"/>
      <c r="CQ133" s="7"/>
      <c r="CR133" s="7"/>
      <c r="CS133" s="7"/>
      <c r="CT133" s="7"/>
      <c r="CU133" s="7"/>
      <c r="CV133" s="7"/>
      <c r="CW133" s="7"/>
      <c r="CX133" s="7"/>
      <c r="CY133" s="7"/>
      <c r="CZ133" s="7"/>
      <c r="DA133" s="7"/>
      <c r="DB133" s="7"/>
      <c r="DC133" s="7"/>
      <c r="DD133" s="7"/>
      <c r="DE133" s="7"/>
      <c r="DF133" s="7"/>
      <c r="DG133" s="7"/>
      <c r="DH133" s="7"/>
      <c r="DI133" s="7"/>
      <c r="DJ133" s="7"/>
      <c r="DK133" s="7"/>
      <c r="DL133" s="7"/>
      <c r="DM133" s="7"/>
      <c r="DN133" s="7"/>
      <c r="DO133" s="7"/>
      <c r="DP133" s="7"/>
      <c r="DQ133" s="7"/>
      <c r="DR133" s="7"/>
      <c r="DS133" s="7"/>
      <c r="DT133" s="7"/>
      <c r="DU133" s="7"/>
      <c r="DV133" s="7"/>
      <c r="DW133" s="7"/>
      <c r="DX133" s="7"/>
      <c r="DY133" s="7"/>
      <c r="DZ133" s="7"/>
      <c r="EA133" s="7"/>
      <c r="EB133" s="7"/>
      <c r="EC133" s="7"/>
      <c r="ED133" s="7"/>
      <c r="EE133" s="7"/>
      <c r="EF133" s="7"/>
      <c r="EG133" s="7"/>
      <c r="EH133" s="7"/>
    </row>
    <row r="134" spans="5:138" ht="15.6" x14ac:dyDescent="0.3"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20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7"/>
      <c r="BV134" s="7"/>
      <c r="BW134" s="7"/>
      <c r="BX134" s="7"/>
      <c r="BY134" s="7"/>
      <c r="BZ134" s="7"/>
      <c r="CA134" s="7"/>
      <c r="CB134" s="7"/>
      <c r="CC134" s="7"/>
      <c r="CD134" s="7"/>
      <c r="CE134" s="7"/>
      <c r="CF134" s="7"/>
      <c r="CG134" s="7"/>
      <c r="CH134" s="7"/>
      <c r="CI134" s="7"/>
      <c r="CJ134" s="7"/>
      <c r="CK134" s="7"/>
      <c r="CL134" s="7"/>
      <c r="CM134" s="7"/>
      <c r="CN134" s="7"/>
      <c r="CO134" s="7"/>
      <c r="CP134" s="7"/>
      <c r="CQ134" s="7"/>
      <c r="CR134" s="7"/>
      <c r="CS134" s="7"/>
      <c r="CT134" s="7"/>
      <c r="CU134" s="7"/>
      <c r="CV134" s="7"/>
      <c r="CW134" s="7"/>
      <c r="CX134" s="7"/>
      <c r="CY134" s="7"/>
      <c r="CZ134" s="7"/>
      <c r="DA134" s="7"/>
      <c r="DB134" s="7"/>
      <c r="DC134" s="7"/>
      <c r="DD134" s="7"/>
      <c r="DE134" s="7"/>
      <c r="DF134" s="7"/>
      <c r="DG134" s="7"/>
      <c r="DH134" s="7"/>
      <c r="DI134" s="7"/>
      <c r="DJ134" s="7"/>
      <c r="DK134" s="7"/>
      <c r="DL134" s="7"/>
      <c r="DM134" s="7"/>
      <c r="DN134" s="7"/>
      <c r="DO134" s="7"/>
      <c r="DP134" s="7"/>
      <c r="DQ134" s="7"/>
      <c r="DR134" s="7"/>
      <c r="DS134" s="7"/>
      <c r="DT134" s="7"/>
      <c r="DU134" s="7"/>
      <c r="DV134" s="7"/>
      <c r="DW134" s="7"/>
      <c r="DX134" s="7"/>
      <c r="DY134" s="7"/>
      <c r="DZ134" s="7"/>
      <c r="EA134" s="7"/>
      <c r="EB134" s="7"/>
      <c r="EC134" s="7"/>
      <c r="ED134" s="7"/>
      <c r="EE134" s="7"/>
      <c r="EF134" s="7"/>
      <c r="EG134" s="7"/>
      <c r="EH134" s="7"/>
    </row>
    <row r="135" spans="5:138" ht="15.6" x14ac:dyDescent="0.3"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20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7"/>
      <c r="BV135" s="7"/>
      <c r="BW135" s="7"/>
      <c r="BX135" s="7"/>
      <c r="BY135" s="7"/>
      <c r="BZ135" s="7"/>
      <c r="CA135" s="7"/>
      <c r="CB135" s="7"/>
      <c r="CC135" s="7"/>
      <c r="CD135" s="7"/>
      <c r="CE135" s="7"/>
      <c r="CF135" s="7"/>
      <c r="CG135" s="7"/>
      <c r="CH135" s="7"/>
      <c r="CI135" s="7"/>
      <c r="CJ135" s="7"/>
      <c r="CK135" s="7"/>
      <c r="CL135" s="7"/>
      <c r="CM135" s="7"/>
      <c r="CN135" s="7"/>
      <c r="CO135" s="7"/>
      <c r="CP135" s="7"/>
      <c r="CQ135" s="7"/>
      <c r="CR135" s="7"/>
      <c r="CS135" s="7"/>
      <c r="CT135" s="7"/>
      <c r="CU135" s="7"/>
      <c r="CV135" s="7"/>
      <c r="CW135" s="7"/>
      <c r="CX135" s="7"/>
      <c r="CY135" s="7"/>
      <c r="CZ135" s="7"/>
      <c r="DA135" s="7"/>
      <c r="DB135" s="7"/>
      <c r="DC135" s="7"/>
      <c r="DD135" s="7"/>
      <c r="DE135" s="7"/>
      <c r="DF135" s="7"/>
      <c r="DG135" s="7"/>
      <c r="DH135" s="7"/>
      <c r="DI135" s="7"/>
      <c r="DJ135" s="7"/>
      <c r="DK135" s="7"/>
      <c r="DL135" s="7"/>
      <c r="DM135" s="7"/>
      <c r="DN135" s="7"/>
      <c r="DO135" s="7"/>
      <c r="DP135" s="7"/>
      <c r="DQ135" s="7"/>
      <c r="DR135" s="7"/>
      <c r="DS135" s="7"/>
      <c r="DT135" s="7"/>
      <c r="DU135" s="7"/>
      <c r="DV135" s="7"/>
      <c r="DW135" s="7"/>
      <c r="DX135" s="7"/>
      <c r="DY135" s="7"/>
      <c r="DZ135" s="7"/>
      <c r="EA135" s="7"/>
      <c r="EB135" s="7"/>
      <c r="EC135" s="7"/>
      <c r="ED135" s="7"/>
      <c r="EE135" s="7"/>
      <c r="EF135" s="7"/>
      <c r="EG135" s="7"/>
      <c r="EH135" s="7"/>
    </row>
    <row r="136" spans="5:138" ht="15.6" x14ac:dyDescent="0.3"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20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7"/>
      <c r="BV136" s="7"/>
      <c r="BW136" s="7"/>
      <c r="BX136" s="7"/>
      <c r="BY136" s="7"/>
      <c r="BZ136" s="7"/>
      <c r="CA136" s="7"/>
      <c r="CB136" s="7"/>
      <c r="CC136" s="7"/>
      <c r="CD136" s="7"/>
      <c r="CE136" s="7"/>
      <c r="CF136" s="7"/>
      <c r="CG136" s="7"/>
      <c r="CH136" s="7"/>
      <c r="CI136" s="7"/>
      <c r="CJ136" s="7"/>
      <c r="CK136" s="7"/>
      <c r="CL136" s="7"/>
      <c r="CM136" s="7"/>
      <c r="CN136" s="7"/>
      <c r="CO136" s="7"/>
      <c r="CP136" s="7"/>
      <c r="CQ136" s="7"/>
      <c r="CR136" s="7"/>
      <c r="CS136" s="7"/>
      <c r="CT136" s="7"/>
      <c r="CU136" s="7"/>
      <c r="CV136" s="7"/>
      <c r="CW136" s="7"/>
      <c r="CX136" s="7"/>
      <c r="CY136" s="7"/>
      <c r="CZ136" s="7"/>
      <c r="DA136" s="7"/>
      <c r="DB136" s="7"/>
      <c r="DC136" s="7"/>
      <c r="DD136" s="7"/>
      <c r="DE136" s="7"/>
      <c r="DF136" s="7"/>
      <c r="DG136" s="7"/>
      <c r="DH136" s="7"/>
      <c r="DI136" s="7"/>
      <c r="DJ136" s="7"/>
      <c r="DK136" s="7"/>
      <c r="DL136" s="7"/>
      <c r="DM136" s="7"/>
      <c r="DN136" s="7"/>
      <c r="DO136" s="7"/>
      <c r="DP136" s="7"/>
      <c r="DQ136" s="7"/>
      <c r="DR136" s="7"/>
      <c r="DS136" s="7"/>
      <c r="DT136" s="7"/>
      <c r="DU136" s="7"/>
      <c r="DV136" s="7"/>
      <c r="DW136" s="7"/>
      <c r="DX136" s="7"/>
      <c r="DY136" s="7"/>
      <c r="DZ136" s="7"/>
      <c r="EA136" s="7"/>
      <c r="EB136" s="7"/>
      <c r="EC136" s="7"/>
      <c r="ED136" s="7"/>
      <c r="EE136" s="7"/>
      <c r="EF136" s="7"/>
      <c r="EG136" s="7"/>
      <c r="EH136" s="7"/>
    </row>
    <row r="137" spans="5:138" ht="15.6" x14ac:dyDescent="0.3"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20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  <c r="BG137" s="7"/>
      <c r="BH137" s="7"/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/>
      <c r="BT137" s="7"/>
      <c r="BU137" s="7"/>
      <c r="BV137" s="7"/>
      <c r="BW137" s="7"/>
      <c r="BX137" s="7"/>
      <c r="BY137" s="7"/>
      <c r="BZ137" s="7"/>
      <c r="CA137" s="7"/>
      <c r="CB137" s="7"/>
      <c r="CC137" s="7"/>
      <c r="CD137" s="7"/>
      <c r="CE137" s="7"/>
      <c r="CF137" s="7"/>
      <c r="CG137" s="7"/>
      <c r="CH137" s="7"/>
      <c r="CI137" s="7"/>
      <c r="CJ137" s="7"/>
      <c r="CK137" s="7"/>
      <c r="CL137" s="7"/>
      <c r="CM137" s="7"/>
      <c r="CN137" s="7"/>
      <c r="CO137" s="7"/>
      <c r="CP137" s="7"/>
      <c r="CQ137" s="7"/>
      <c r="CR137" s="7"/>
      <c r="CS137" s="7"/>
      <c r="CT137" s="7"/>
      <c r="CU137" s="7"/>
      <c r="CV137" s="7"/>
      <c r="CW137" s="7"/>
      <c r="CX137" s="7"/>
      <c r="CY137" s="7"/>
      <c r="CZ137" s="7"/>
      <c r="DA137" s="7"/>
      <c r="DB137" s="7"/>
      <c r="DC137" s="7"/>
      <c r="DD137" s="7"/>
      <c r="DE137" s="7"/>
      <c r="DF137" s="7"/>
      <c r="DG137" s="7"/>
      <c r="DH137" s="7"/>
      <c r="DI137" s="7"/>
      <c r="DJ137" s="7"/>
      <c r="DK137" s="7"/>
      <c r="DL137" s="7"/>
      <c r="DM137" s="7"/>
      <c r="DN137" s="7"/>
      <c r="DO137" s="7"/>
      <c r="DP137" s="7"/>
      <c r="DQ137" s="7"/>
      <c r="DR137" s="7"/>
      <c r="DS137" s="7"/>
      <c r="DT137" s="7"/>
      <c r="DU137" s="7"/>
      <c r="DV137" s="7"/>
      <c r="DW137" s="7"/>
      <c r="DX137" s="7"/>
      <c r="DY137" s="7"/>
      <c r="DZ137" s="7"/>
      <c r="EA137" s="7"/>
      <c r="EB137" s="7"/>
      <c r="EC137" s="7"/>
      <c r="ED137" s="7"/>
      <c r="EE137" s="7"/>
      <c r="EF137" s="7"/>
      <c r="EG137" s="7"/>
      <c r="EH137" s="7"/>
    </row>
    <row r="138" spans="5:138" ht="15.6" x14ac:dyDescent="0.3"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20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/>
      <c r="BV138" s="7"/>
      <c r="BW138" s="7"/>
      <c r="BX138" s="7"/>
      <c r="BY138" s="7"/>
      <c r="BZ138" s="7"/>
      <c r="CA138" s="7"/>
      <c r="CB138" s="7"/>
      <c r="CC138" s="7"/>
      <c r="CD138" s="7"/>
      <c r="CE138" s="7"/>
      <c r="CF138" s="7"/>
      <c r="CG138" s="7"/>
      <c r="CH138" s="7"/>
      <c r="CI138" s="7"/>
      <c r="CJ138" s="7"/>
      <c r="CK138" s="7"/>
      <c r="CL138" s="7"/>
      <c r="CM138" s="7"/>
      <c r="CN138" s="7"/>
      <c r="CO138" s="7"/>
      <c r="CP138" s="7"/>
      <c r="CQ138" s="7"/>
      <c r="CR138" s="7"/>
      <c r="CS138" s="7"/>
      <c r="CT138" s="7"/>
      <c r="CU138" s="7"/>
      <c r="CV138" s="7"/>
      <c r="CW138" s="7"/>
      <c r="CX138" s="7"/>
      <c r="CY138" s="7"/>
      <c r="CZ138" s="7"/>
      <c r="DA138" s="7"/>
      <c r="DB138" s="7"/>
      <c r="DC138" s="7"/>
      <c r="DD138" s="7"/>
      <c r="DE138" s="7"/>
      <c r="DF138" s="7"/>
      <c r="DG138" s="7"/>
      <c r="DH138" s="7"/>
      <c r="DI138" s="7"/>
      <c r="DJ138" s="7"/>
      <c r="DK138" s="7"/>
      <c r="DL138" s="7"/>
      <c r="DM138" s="7"/>
      <c r="DN138" s="7"/>
      <c r="DO138" s="7"/>
      <c r="DP138" s="7"/>
      <c r="DQ138" s="7"/>
      <c r="DR138" s="7"/>
      <c r="DS138" s="7"/>
      <c r="DT138" s="7"/>
      <c r="DU138" s="7"/>
      <c r="DV138" s="7"/>
      <c r="DW138" s="7"/>
      <c r="DX138" s="7"/>
      <c r="DY138" s="7"/>
      <c r="DZ138" s="7"/>
      <c r="EA138" s="7"/>
      <c r="EB138" s="7"/>
      <c r="EC138" s="7"/>
      <c r="ED138" s="7"/>
      <c r="EE138" s="7"/>
      <c r="EF138" s="7"/>
      <c r="EG138" s="7"/>
      <c r="EH138" s="7"/>
    </row>
    <row r="139" spans="5:138" ht="15.6" x14ac:dyDescent="0.3"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20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7"/>
      <c r="BV139" s="7"/>
      <c r="BW139" s="7"/>
      <c r="BX139" s="7"/>
      <c r="BY139" s="7"/>
      <c r="BZ139" s="7"/>
      <c r="CA139" s="7"/>
      <c r="CB139" s="7"/>
      <c r="CC139" s="7"/>
      <c r="CD139" s="7"/>
      <c r="CE139" s="7"/>
      <c r="CF139" s="7"/>
      <c r="CG139" s="7"/>
      <c r="CH139" s="7"/>
      <c r="CI139" s="7"/>
      <c r="CJ139" s="7"/>
      <c r="CK139" s="7"/>
      <c r="CL139" s="7"/>
      <c r="CM139" s="7"/>
      <c r="CN139" s="7"/>
      <c r="CO139" s="7"/>
      <c r="CP139" s="7"/>
      <c r="CQ139" s="7"/>
      <c r="CR139" s="7"/>
      <c r="CS139" s="7"/>
      <c r="CT139" s="7"/>
      <c r="CU139" s="7"/>
      <c r="CV139" s="7"/>
      <c r="CW139" s="7"/>
      <c r="CX139" s="7"/>
      <c r="CY139" s="7"/>
      <c r="CZ139" s="7"/>
      <c r="DA139" s="7"/>
      <c r="DB139" s="7"/>
      <c r="DC139" s="7"/>
      <c r="DD139" s="7"/>
      <c r="DE139" s="7"/>
      <c r="DF139" s="7"/>
      <c r="DG139" s="7"/>
      <c r="DH139" s="7"/>
      <c r="DI139" s="7"/>
      <c r="DJ139" s="7"/>
      <c r="DK139" s="7"/>
      <c r="DL139" s="7"/>
      <c r="DM139" s="7"/>
      <c r="DN139" s="7"/>
      <c r="DO139" s="7"/>
      <c r="DP139" s="7"/>
      <c r="DQ139" s="7"/>
      <c r="DR139" s="7"/>
      <c r="DS139" s="7"/>
      <c r="DT139" s="7"/>
      <c r="DU139" s="7"/>
      <c r="DV139" s="7"/>
      <c r="DW139" s="7"/>
      <c r="DX139" s="7"/>
      <c r="DY139" s="7"/>
      <c r="DZ139" s="7"/>
      <c r="EA139" s="7"/>
      <c r="EB139" s="7"/>
      <c r="EC139" s="7"/>
      <c r="ED139" s="7"/>
      <c r="EE139" s="7"/>
      <c r="EF139" s="7"/>
      <c r="EG139" s="7"/>
      <c r="EH139" s="7"/>
    </row>
    <row r="140" spans="5:138" ht="15.6" x14ac:dyDescent="0.3"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20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7"/>
      <c r="BV140" s="7"/>
      <c r="BW140" s="7"/>
      <c r="BX140" s="7"/>
      <c r="BY140" s="7"/>
      <c r="BZ140" s="7"/>
      <c r="CA140" s="7"/>
      <c r="CB140" s="7"/>
      <c r="CC140" s="7"/>
      <c r="CD140" s="7"/>
      <c r="CE140" s="7"/>
      <c r="CF140" s="7"/>
      <c r="CG140" s="7"/>
      <c r="CH140" s="7"/>
      <c r="CI140" s="7"/>
      <c r="CJ140" s="7"/>
      <c r="CK140" s="7"/>
      <c r="CL140" s="7"/>
      <c r="CM140" s="7"/>
      <c r="CN140" s="7"/>
      <c r="CO140" s="7"/>
      <c r="CP140" s="7"/>
      <c r="CQ140" s="7"/>
      <c r="CR140" s="7"/>
      <c r="CS140" s="7"/>
      <c r="CT140" s="7"/>
      <c r="CU140" s="7"/>
      <c r="CV140" s="7"/>
      <c r="CW140" s="7"/>
      <c r="CX140" s="7"/>
      <c r="CY140" s="7"/>
      <c r="CZ140" s="7"/>
      <c r="DA140" s="7"/>
      <c r="DB140" s="7"/>
      <c r="DC140" s="7"/>
      <c r="DD140" s="7"/>
      <c r="DE140" s="7"/>
      <c r="DF140" s="7"/>
      <c r="DG140" s="7"/>
      <c r="DH140" s="7"/>
      <c r="DI140" s="7"/>
      <c r="DJ140" s="7"/>
      <c r="DK140" s="7"/>
      <c r="DL140" s="7"/>
      <c r="DM140" s="7"/>
      <c r="DN140" s="7"/>
      <c r="DO140" s="7"/>
      <c r="DP140" s="7"/>
      <c r="DQ140" s="7"/>
      <c r="DR140" s="7"/>
      <c r="DS140" s="7"/>
      <c r="DT140" s="7"/>
      <c r="DU140" s="7"/>
      <c r="DV140" s="7"/>
      <c r="DW140" s="7"/>
      <c r="DX140" s="7"/>
      <c r="DY140" s="7"/>
      <c r="DZ140" s="7"/>
      <c r="EA140" s="7"/>
      <c r="EB140" s="7"/>
      <c r="EC140" s="7"/>
      <c r="ED140" s="7"/>
      <c r="EE140" s="7"/>
      <c r="EF140" s="7"/>
      <c r="EG140" s="7"/>
      <c r="EH140" s="7"/>
    </row>
    <row r="141" spans="5:138" ht="15.6" x14ac:dyDescent="0.3"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20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7"/>
      <c r="BV141" s="7"/>
      <c r="BW141" s="7"/>
      <c r="BX141" s="7"/>
      <c r="BY141" s="7"/>
      <c r="BZ141" s="7"/>
      <c r="CA141" s="7"/>
      <c r="CB141" s="7"/>
      <c r="CC141" s="7"/>
      <c r="CD141" s="7"/>
      <c r="CE141" s="7"/>
      <c r="CF141" s="7"/>
      <c r="CG141" s="7"/>
      <c r="CH141" s="7"/>
      <c r="CI141" s="7"/>
      <c r="CJ141" s="7"/>
      <c r="CK141" s="7"/>
      <c r="CL141" s="7"/>
      <c r="CM141" s="7"/>
      <c r="CN141" s="7"/>
      <c r="CO141" s="7"/>
      <c r="CP141" s="7"/>
      <c r="CQ141" s="7"/>
      <c r="CR141" s="7"/>
      <c r="CS141" s="7"/>
      <c r="CT141" s="7"/>
      <c r="CU141" s="7"/>
      <c r="CV141" s="7"/>
      <c r="CW141" s="7"/>
      <c r="CX141" s="7"/>
      <c r="CY141" s="7"/>
      <c r="CZ141" s="7"/>
      <c r="DA141" s="7"/>
      <c r="DB141" s="7"/>
      <c r="DC141" s="7"/>
      <c r="DD141" s="7"/>
      <c r="DE141" s="7"/>
      <c r="DF141" s="7"/>
      <c r="DG141" s="7"/>
      <c r="DH141" s="7"/>
      <c r="DI141" s="7"/>
      <c r="DJ141" s="7"/>
      <c r="DK141" s="7"/>
      <c r="DL141" s="7"/>
      <c r="DM141" s="7"/>
      <c r="DN141" s="7"/>
      <c r="DO141" s="7"/>
      <c r="DP141" s="7"/>
      <c r="DQ141" s="7"/>
      <c r="DR141" s="7"/>
      <c r="DS141" s="7"/>
      <c r="DT141" s="7"/>
      <c r="DU141" s="7"/>
      <c r="DV141" s="7"/>
      <c r="DW141" s="7"/>
      <c r="DX141" s="7"/>
      <c r="DY141" s="7"/>
      <c r="DZ141" s="7"/>
      <c r="EA141" s="7"/>
      <c r="EB141" s="7"/>
      <c r="EC141" s="7"/>
      <c r="ED141" s="7"/>
      <c r="EE141" s="7"/>
      <c r="EF141" s="7"/>
      <c r="EG141" s="7"/>
      <c r="EH141" s="7"/>
    </row>
    <row r="142" spans="5:138" ht="15.6" x14ac:dyDescent="0.3"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20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7"/>
      <c r="BV142" s="7"/>
      <c r="BW142" s="7"/>
      <c r="BX142" s="7"/>
      <c r="BY142" s="7"/>
      <c r="BZ142" s="7"/>
      <c r="CA142" s="7"/>
      <c r="CB142" s="7"/>
      <c r="CC142" s="7"/>
      <c r="CD142" s="7"/>
      <c r="CE142" s="7"/>
      <c r="CF142" s="7"/>
      <c r="CG142" s="7"/>
      <c r="CH142" s="7"/>
      <c r="CI142" s="7"/>
      <c r="CJ142" s="7"/>
      <c r="CK142" s="7"/>
      <c r="CL142" s="7"/>
      <c r="CM142" s="7"/>
      <c r="CN142" s="7"/>
      <c r="CO142" s="7"/>
      <c r="CP142" s="7"/>
      <c r="CQ142" s="7"/>
      <c r="CR142" s="7"/>
      <c r="CS142" s="7"/>
      <c r="CT142" s="7"/>
      <c r="CU142" s="7"/>
      <c r="CV142" s="7"/>
      <c r="CW142" s="7"/>
      <c r="CX142" s="7"/>
      <c r="CY142" s="7"/>
      <c r="CZ142" s="7"/>
      <c r="DA142" s="7"/>
      <c r="DB142" s="7"/>
      <c r="DC142" s="7"/>
      <c r="DD142" s="7"/>
      <c r="DE142" s="7"/>
      <c r="DF142" s="7"/>
      <c r="DG142" s="7"/>
      <c r="DH142" s="7"/>
      <c r="DI142" s="7"/>
      <c r="DJ142" s="7"/>
      <c r="DK142" s="7"/>
      <c r="DL142" s="7"/>
      <c r="DM142" s="7"/>
      <c r="DN142" s="7"/>
      <c r="DO142" s="7"/>
      <c r="DP142" s="7"/>
      <c r="DQ142" s="7"/>
      <c r="DR142" s="7"/>
      <c r="DS142" s="7"/>
      <c r="DT142" s="7"/>
      <c r="DU142" s="7"/>
      <c r="DV142" s="7"/>
      <c r="DW142" s="7"/>
      <c r="DX142" s="7"/>
      <c r="DY142" s="7"/>
      <c r="DZ142" s="7"/>
      <c r="EA142" s="7"/>
      <c r="EB142" s="7"/>
      <c r="EC142" s="7"/>
      <c r="ED142" s="7"/>
      <c r="EE142" s="7"/>
      <c r="EF142" s="7"/>
      <c r="EG142" s="7"/>
      <c r="EH142" s="7"/>
    </row>
    <row r="143" spans="5:138" ht="15.6" x14ac:dyDescent="0.3"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20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7"/>
      <c r="BV143" s="7"/>
      <c r="BW143" s="7"/>
      <c r="BX143" s="7"/>
      <c r="BY143" s="7"/>
      <c r="BZ143" s="7"/>
      <c r="CA143" s="7"/>
      <c r="CB143" s="7"/>
      <c r="CC143" s="7"/>
      <c r="CD143" s="7"/>
      <c r="CE143" s="7"/>
      <c r="CF143" s="7"/>
      <c r="CG143" s="7"/>
      <c r="CH143" s="7"/>
      <c r="CI143" s="7"/>
      <c r="CJ143" s="7"/>
      <c r="CK143" s="7"/>
      <c r="CL143" s="7"/>
      <c r="CM143" s="7"/>
      <c r="CN143" s="7"/>
      <c r="CO143" s="7"/>
      <c r="CP143" s="7"/>
      <c r="CQ143" s="7"/>
      <c r="CR143" s="7"/>
      <c r="CS143" s="7"/>
      <c r="CT143" s="7"/>
      <c r="CU143" s="7"/>
      <c r="CV143" s="7"/>
      <c r="CW143" s="7"/>
      <c r="CX143" s="7"/>
      <c r="CY143" s="7"/>
      <c r="CZ143" s="7"/>
      <c r="DA143" s="7"/>
      <c r="DB143" s="7"/>
      <c r="DC143" s="7"/>
      <c r="DD143" s="7"/>
      <c r="DE143" s="7"/>
      <c r="DF143" s="7"/>
      <c r="DG143" s="7"/>
      <c r="DH143" s="7"/>
      <c r="DI143" s="7"/>
      <c r="DJ143" s="7"/>
      <c r="DK143" s="7"/>
      <c r="DL143" s="7"/>
      <c r="DM143" s="7"/>
      <c r="DN143" s="7"/>
      <c r="DO143" s="7"/>
      <c r="DP143" s="7"/>
      <c r="DQ143" s="7"/>
      <c r="DR143" s="7"/>
      <c r="DS143" s="7"/>
      <c r="DT143" s="7"/>
      <c r="DU143" s="7"/>
      <c r="DV143" s="7"/>
      <c r="DW143" s="7"/>
      <c r="DX143" s="7"/>
      <c r="DY143" s="7"/>
      <c r="DZ143" s="7"/>
      <c r="EA143" s="7"/>
      <c r="EB143" s="7"/>
      <c r="EC143" s="7"/>
      <c r="ED143" s="7"/>
      <c r="EE143" s="7"/>
      <c r="EF143" s="7"/>
      <c r="EG143" s="7"/>
      <c r="EH143" s="7"/>
    </row>
    <row r="144" spans="5:138" ht="15.6" x14ac:dyDescent="0.3"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20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7"/>
      <c r="BV144" s="7"/>
      <c r="BW144" s="7"/>
      <c r="BX144" s="7"/>
      <c r="BY144" s="7"/>
      <c r="BZ144" s="7"/>
      <c r="CA144" s="7"/>
      <c r="CB144" s="7"/>
      <c r="CC144" s="7"/>
      <c r="CD144" s="7"/>
      <c r="CE144" s="7"/>
      <c r="CF144" s="7"/>
      <c r="CG144" s="7"/>
      <c r="CH144" s="7"/>
      <c r="CI144" s="7"/>
      <c r="CJ144" s="7"/>
      <c r="CK144" s="7"/>
      <c r="CL144" s="7"/>
      <c r="CM144" s="7"/>
      <c r="CN144" s="7"/>
      <c r="CO144" s="7"/>
      <c r="CP144" s="7"/>
      <c r="CQ144" s="7"/>
      <c r="CR144" s="7"/>
      <c r="CS144" s="7"/>
      <c r="CT144" s="7"/>
      <c r="CU144" s="7"/>
      <c r="CV144" s="7"/>
      <c r="CW144" s="7"/>
      <c r="CX144" s="7"/>
      <c r="CY144" s="7"/>
      <c r="CZ144" s="7"/>
      <c r="DA144" s="7"/>
      <c r="DB144" s="7"/>
      <c r="DC144" s="7"/>
      <c r="DD144" s="7"/>
      <c r="DE144" s="7"/>
      <c r="DF144" s="7"/>
      <c r="DG144" s="7"/>
      <c r="DH144" s="7"/>
      <c r="DI144" s="7"/>
      <c r="DJ144" s="7"/>
      <c r="DK144" s="7"/>
      <c r="DL144" s="7"/>
      <c r="DM144" s="7"/>
      <c r="DN144" s="7"/>
      <c r="DO144" s="7"/>
      <c r="DP144" s="7"/>
      <c r="DQ144" s="7"/>
      <c r="DR144" s="7"/>
      <c r="DS144" s="7"/>
      <c r="DT144" s="7"/>
      <c r="DU144" s="7"/>
      <c r="DV144" s="7"/>
      <c r="DW144" s="7"/>
      <c r="DX144" s="7"/>
      <c r="DY144" s="7"/>
      <c r="DZ144" s="7"/>
      <c r="EA144" s="7"/>
      <c r="EB144" s="7"/>
      <c r="EC144" s="7"/>
      <c r="ED144" s="7"/>
      <c r="EE144" s="7"/>
      <c r="EF144" s="7"/>
      <c r="EG144" s="7"/>
      <c r="EH144" s="7"/>
    </row>
    <row r="145" spans="5:138" ht="15.6" x14ac:dyDescent="0.3"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20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7"/>
      <c r="BV145" s="7"/>
      <c r="BW145" s="7"/>
      <c r="BX145" s="7"/>
      <c r="BY145" s="7"/>
      <c r="BZ145" s="7"/>
      <c r="CA145" s="7"/>
      <c r="CB145" s="7"/>
      <c r="CC145" s="7"/>
      <c r="CD145" s="7"/>
      <c r="CE145" s="7"/>
      <c r="CF145" s="7"/>
      <c r="CG145" s="7"/>
      <c r="CH145" s="7"/>
      <c r="CI145" s="7"/>
      <c r="CJ145" s="7"/>
      <c r="CK145" s="7"/>
      <c r="CL145" s="7"/>
      <c r="CM145" s="7"/>
      <c r="CN145" s="7"/>
      <c r="CO145" s="7"/>
      <c r="CP145" s="7"/>
      <c r="CQ145" s="7"/>
      <c r="CR145" s="7"/>
      <c r="CS145" s="7"/>
      <c r="CT145" s="7"/>
      <c r="CU145" s="7"/>
      <c r="CV145" s="7"/>
      <c r="CW145" s="7"/>
      <c r="CX145" s="7"/>
      <c r="CY145" s="7"/>
      <c r="CZ145" s="7"/>
      <c r="DA145" s="7"/>
      <c r="DB145" s="7"/>
      <c r="DC145" s="7"/>
      <c r="DD145" s="7"/>
      <c r="DE145" s="7"/>
      <c r="DF145" s="7"/>
      <c r="DG145" s="7"/>
      <c r="DH145" s="7"/>
      <c r="DI145" s="7"/>
      <c r="DJ145" s="7"/>
      <c r="DK145" s="7"/>
      <c r="DL145" s="7"/>
      <c r="DM145" s="7"/>
      <c r="DN145" s="7"/>
      <c r="DO145" s="7"/>
      <c r="DP145" s="7"/>
      <c r="DQ145" s="7"/>
      <c r="DR145" s="7"/>
      <c r="DS145" s="7"/>
      <c r="DT145" s="7"/>
      <c r="DU145" s="7"/>
      <c r="DV145" s="7"/>
      <c r="DW145" s="7"/>
      <c r="DX145" s="7"/>
      <c r="DY145" s="7"/>
      <c r="DZ145" s="7"/>
      <c r="EA145" s="7"/>
      <c r="EB145" s="7"/>
      <c r="EC145" s="7"/>
      <c r="ED145" s="7"/>
      <c r="EE145" s="7"/>
      <c r="EF145" s="7"/>
      <c r="EG145" s="7"/>
      <c r="EH145" s="7"/>
    </row>
    <row r="146" spans="5:138" ht="15.6" x14ac:dyDescent="0.3"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20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/>
      <c r="BF146" s="7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/>
      <c r="BV146" s="7"/>
      <c r="BW146" s="7"/>
      <c r="BX146" s="7"/>
      <c r="BY146" s="7"/>
      <c r="BZ146" s="7"/>
      <c r="CA146" s="7"/>
      <c r="CB146" s="7"/>
      <c r="CC146" s="7"/>
      <c r="CD146" s="7"/>
      <c r="CE146" s="7"/>
      <c r="CF146" s="7"/>
      <c r="CG146" s="7"/>
      <c r="CH146" s="7"/>
      <c r="CI146" s="7"/>
      <c r="CJ146" s="7"/>
      <c r="CK146" s="7"/>
      <c r="CL146" s="7"/>
      <c r="CM146" s="7"/>
      <c r="CN146" s="7"/>
      <c r="CO146" s="7"/>
      <c r="CP146" s="7"/>
      <c r="CQ146" s="7"/>
      <c r="CR146" s="7"/>
      <c r="CS146" s="7"/>
      <c r="CT146" s="7"/>
      <c r="CU146" s="7"/>
      <c r="CV146" s="7"/>
      <c r="CW146" s="7"/>
      <c r="CX146" s="7"/>
      <c r="CY146" s="7"/>
      <c r="CZ146" s="7"/>
      <c r="DA146" s="7"/>
      <c r="DB146" s="7"/>
      <c r="DC146" s="7"/>
      <c r="DD146" s="7"/>
      <c r="DE146" s="7"/>
      <c r="DF146" s="7"/>
      <c r="DG146" s="7"/>
      <c r="DH146" s="7"/>
      <c r="DI146" s="7"/>
      <c r="DJ146" s="7"/>
      <c r="DK146" s="7"/>
      <c r="DL146" s="7"/>
      <c r="DM146" s="7"/>
      <c r="DN146" s="7"/>
      <c r="DO146" s="7"/>
      <c r="DP146" s="7"/>
      <c r="DQ146" s="7"/>
      <c r="DR146" s="7"/>
      <c r="DS146" s="7"/>
      <c r="DT146" s="7"/>
      <c r="DU146" s="7"/>
      <c r="DV146" s="7"/>
      <c r="DW146" s="7"/>
      <c r="DX146" s="7"/>
      <c r="DY146" s="7"/>
      <c r="DZ146" s="7"/>
      <c r="EA146" s="7"/>
      <c r="EB146" s="7"/>
      <c r="EC146" s="7"/>
      <c r="ED146" s="7"/>
      <c r="EE146" s="7"/>
      <c r="EF146" s="7"/>
      <c r="EG146" s="7"/>
      <c r="EH146" s="7"/>
    </row>
    <row r="147" spans="5:138" ht="15.6" x14ac:dyDescent="0.3"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20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7"/>
      <c r="BV147" s="7"/>
      <c r="BW147" s="7"/>
      <c r="BX147" s="7"/>
      <c r="BY147" s="7"/>
      <c r="BZ147" s="7"/>
      <c r="CA147" s="7"/>
      <c r="CB147" s="7"/>
      <c r="CC147" s="7"/>
      <c r="CD147" s="7"/>
      <c r="CE147" s="7"/>
      <c r="CF147" s="7"/>
      <c r="CG147" s="7"/>
      <c r="CH147" s="7"/>
      <c r="CI147" s="7"/>
      <c r="CJ147" s="7"/>
      <c r="CK147" s="7"/>
      <c r="CL147" s="7"/>
      <c r="CM147" s="7"/>
      <c r="CN147" s="7"/>
      <c r="CO147" s="7"/>
      <c r="CP147" s="7"/>
      <c r="CQ147" s="7"/>
      <c r="CR147" s="7"/>
      <c r="CS147" s="7"/>
      <c r="CT147" s="7"/>
      <c r="CU147" s="7"/>
      <c r="CV147" s="7"/>
      <c r="CW147" s="7"/>
      <c r="CX147" s="7"/>
      <c r="CY147" s="7"/>
      <c r="CZ147" s="7"/>
      <c r="DA147" s="7"/>
      <c r="DB147" s="7"/>
      <c r="DC147" s="7"/>
      <c r="DD147" s="7"/>
      <c r="DE147" s="7"/>
      <c r="DF147" s="7"/>
      <c r="DG147" s="7"/>
      <c r="DH147" s="7"/>
      <c r="DI147" s="7"/>
      <c r="DJ147" s="7"/>
      <c r="DK147" s="7"/>
      <c r="DL147" s="7"/>
      <c r="DM147" s="7"/>
      <c r="DN147" s="7"/>
      <c r="DO147" s="7"/>
      <c r="DP147" s="7"/>
      <c r="DQ147" s="7"/>
      <c r="DR147" s="7"/>
      <c r="DS147" s="7"/>
      <c r="DT147" s="7"/>
      <c r="DU147" s="7"/>
      <c r="DV147" s="7"/>
      <c r="DW147" s="7"/>
      <c r="DX147" s="7"/>
      <c r="DY147" s="7"/>
      <c r="DZ147" s="7"/>
      <c r="EA147" s="7"/>
      <c r="EB147" s="7"/>
      <c r="EC147" s="7"/>
      <c r="ED147" s="7"/>
      <c r="EE147" s="7"/>
      <c r="EF147" s="7"/>
      <c r="EG147" s="7"/>
      <c r="EH147" s="7"/>
    </row>
    <row r="148" spans="5:138" ht="15.6" x14ac:dyDescent="0.3"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20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7"/>
      <c r="BV148" s="7"/>
      <c r="BW148" s="7"/>
      <c r="BX148" s="7"/>
      <c r="BY148" s="7"/>
      <c r="BZ148" s="7"/>
      <c r="CA148" s="7"/>
      <c r="CB148" s="7"/>
      <c r="CC148" s="7"/>
      <c r="CD148" s="7"/>
      <c r="CE148" s="7"/>
      <c r="CF148" s="7"/>
      <c r="CG148" s="7"/>
      <c r="CH148" s="7"/>
      <c r="CI148" s="7"/>
      <c r="CJ148" s="7"/>
      <c r="CK148" s="7"/>
      <c r="CL148" s="7"/>
      <c r="CM148" s="7"/>
      <c r="CN148" s="7"/>
      <c r="CO148" s="7"/>
      <c r="CP148" s="7"/>
      <c r="CQ148" s="7"/>
      <c r="CR148" s="7"/>
      <c r="CS148" s="7"/>
      <c r="CT148" s="7"/>
      <c r="CU148" s="7"/>
      <c r="CV148" s="7"/>
      <c r="CW148" s="7"/>
      <c r="CX148" s="7"/>
      <c r="CY148" s="7"/>
      <c r="CZ148" s="7"/>
      <c r="DA148" s="7"/>
      <c r="DB148" s="7"/>
      <c r="DC148" s="7"/>
      <c r="DD148" s="7"/>
      <c r="DE148" s="7"/>
      <c r="DF148" s="7"/>
      <c r="DG148" s="7"/>
      <c r="DH148" s="7"/>
      <c r="DI148" s="7"/>
      <c r="DJ148" s="7"/>
      <c r="DK148" s="7"/>
      <c r="DL148" s="7"/>
      <c r="DM148" s="7"/>
      <c r="DN148" s="7"/>
      <c r="DO148" s="7"/>
      <c r="DP148" s="7"/>
      <c r="DQ148" s="7"/>
      <c r="DR148" s="7"/>
      <c r="DS148" s="7"/>
      <c r="DT148" s="7"/>
      <c r="DU148" s="7"/>
      <c r="DV148" s="7"/>
      <c r="DW148" s="7"/>
      <c r="DX148" s="7"/>
      <c r="DY148" s="7"/>
      <c r="DZ148" s="7"/>
      <c r="EA148" s="7"/>
      <c r="EB148" s="7"/>
      <c r="EC148" s="7"/>
      <c r="ED148" s="7"/>
      <c r="EE148" s="7"/>
      <c r="EF148" s="7"/>
      <c r="EG148" s="7"/>
      <c r="EH148" s="7"/>
    </row>
    <row r="149" spans="5:138" ht="15.6" x14ac:dyDescent="0.3"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20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7"/>
      <c r="BV149" s="7"/>
      <c r="BW149" s="7"/>
      <c r="BX149" s="7"/>
      <c r="BY149" s="7"/>
      <c r="BZ149" s="7"/>
      <c r="CA149" s="7"/>
      <c r="CB149" s="7"/>
      <c r="CC149" s="7"/>
      <c r="CD149" s="7"/>
      <c r="CE149" s="7"/>
      <c r="CF149" s="7"/>
      <c r="CG149" s="7"/>
      <c r="CH149" s="7"/>
      <c r="CI149" s="7"/>
      <c r="CJ149" s="7"/>
      <c r="CK149" s="7"/>
      <c r="CL149" s="7"/>
      <c r="CM149" s="7"/>
      <c r="CN149" s="7"/>
      <c r="CO149" s="7"/>
      <c r="CP149" s="7"/>
      <c r="CQ149" s="7"/>
      <c r="CR149" s="7"/>
      <c r="CS149" s="7"/>
      <c r="CT149" s="7"/>
      <c r="CU149" s="7"/>
      <c r="CV149" s="7"/>
      <c r="CW149" s="7"/>
      <c r="CX149" s="7"/>
      <c r="CY149" s="7"/>
      <c r="CZ149" s="7"/>
      <c r="DA149" s="7"/>
      <c r="DB149" s="7"/>
      <c r="DC149" s="7"/>
      <c r="DD149" s="7"/>
      <c r="DE149" s="7"/>
      <c r="DF149" s="7"/>
      <c r="DG149" s="7"/>
      <c r="DH149" s="7"/>
      <c r="DI149" s="7"/>
      <c r="DJ149" s="7"/>
      <c r="DK149" s="7"/>
      <c r="DL149" s="7"/>
      <c r="DM149" s="7"/>
      <c r="DN149" s="7"/>
      <c r="DO149" s="7"/>
      <c r="DP149" s="7"/>
      <c r="DQ149" s="7"/>
      <c r="DR149" s="7"/>
      <c r="DS149" s="7"/>
      <c r="DT149" s="7"/>
      <c r="DU149" s="7"/>
      <c r="DV149" s="7"/>
      <c r="DW149" s="7"/>
      <c r="DX149" s="7"/>
      <c r="DY149" s="7"/>
      <c r="DZ149" s="7"/>
      <c r="EA149" s="7"/>
      <c r="EB149" s="7"/>
      <c r="EC149" s="7"/>
      <c r="ED149" s="7"/>
      <c r="EE149" s="7"/>
      <c r="EF149" s="7"/>
      <c r="EG149" s="7"/>
      <c r="EH149" s="7"/>
    </row>
    <row r="150" spans="5:138" ht="15.6" x14ac:dyDescent="0.3"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20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BS150" s="7"/>
      <c r="BT150" s="7"/>
      <c r="BU150" s="7"/>
      <c r="BV150" s="7"/>
      <c r="BW150" s="7"/>
      <c r="BX150" s="7"/>
      <c r="BY150" s="7"/>
      <c r="BZ150" s="7"/>
      <c r="CA150" s="7"/>
      <c r="CB150" s="7"/>
      <c r="CC150" s="7"/>
      <c r="CD150" s="7"/>
      <c r="CE150" s="7"/>
      <c r="CF150" s="7"/>
      <c r="CG150" s="7"/>
      <c r="CH150" s="7"/>
      <c r="CI150" s="7"/>
      <c r="CJ150" s="7"/>
      <c r="CK150" s="7"/>
      <c r="CL150" s="7"/>
      <c r="CM150" s="7"/>
      <c r="CN150" s="7"/>
      <c r="CO150" s="7"/>
      <c r="CP150" s="7"/>
      <c r="CQ150" s="7"/>
      <c r="CR150" s="7"/>
      <c r="CS150" s="7"/>
      <c r="CT150" s="7"/>
      <c r="CU150" s="7"/>
      <c r="CV150" s="7"/>
      <c r="CW150" s="7"/>
      <c r="CX150" s="7"/>
      <c r="CY150" s="7"/>
      <c r="CZ150" s="7"/>
      <c r="DA150" s="7"/>
      <c r="DB150" s="7"/>
      <c r="DC150" s="7"/>
      <c r="DD150" s="7"/>
      <c r="DE150" s="7"/>
      <c r="DF150" s="7"/>
      <c r="DG150" s="7"/>
      <c r="DH150" s="7"/>
      <c r="DI150" s="7"/>
      <c r="DJ150" s="7"/>
      <c r="DK150" s="7"/>
      <c r="DL150" s="7"/>
      <c r="DM150" s="7"/>
      <c r="DN150" s="7"/>
      <c r="DO150" s="7"/>
      <c r="DP150" s="7"/>
      <c r="DQ150" s="7"/>
      <c r="DR150" s="7"/>
      <c r="DS150" s="7"/>
      <c r="DT150" s="7"/>
      <c r="DU150" s="7"/>
      <c r="DV150" s="7"/>
      <c r="DW150" s="7"/>
      <c r="DX150" s="7"/>
      <c r="DY150" s="7"/>
      <c r="DZ150" s="7"/>
      <c r="EA150" s="7"/>
      <c r="EB150" s="7"/>
      <c r="EC150" s="7"/>
      <c r="ED150" s="7"/>
      <c r="EE150" s="7"/>
      <c r="EF150" s="7"/>
      <c r="EG150" s="7"/>
      <c r="EH150" s="7"/>
    </row>
    <row r="151" spans="5:138" ht="15.6" x14ac:dyDescent="0.3"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20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BS151" s="7"/>
      <c r="BT151" s="7"/>
      <c r="BU151" s="7"/>
      <c r="BV151" s="7"/>
      <c r="BW151" s="7"/>
      <c r="BX151" s="7"/>
      <c r="BY151" s="7"/>
      <c r="BZ151" s="7"/>
      <c r="CA151" s="7"/>
      <c r="CB151" s="7"/>
      <c r="CC151" s="7"/>
      <c r="CD151" s="7"/>
      <c r="CE151" s="7"/>
      <c r="CF151" s="7"/>
      <c r="CG151" s="7"/>
      <c r="CH151" s="7"/>
      <c r="CI151" s="7"/>
      <c r="CJ151" s="7"/>
      <c r="CK151" s="7"/>
      <c r="CL151" s="7"/>
      <c r="CM151" s="7"/>
      <c r="CN151" s="7"/>
      <c r="CO151" s="7"/>
      <c r="CP151" s="7"/>
      <c r="CQ151" s="7"/>
      <c r="CR151" s="7"/>
      <c r="CS151" s="7"/>
      <c r="CT151" s="7"/>
      <c r="CU151" s="7"/>
      <c r="CV151" s="7"/>
      <c r="CW151" s="7"/>
      <c r="CX151" s="7"/>
      <c r="CY151" s="7"/>
      <c r="CZ151" s="7"/>
      <c r="DA151" s="7"/>
      <c r="DB151" s="7"/>
      <c r="DC151" s="7"/>
      <c r="DD151" s="7"/>
      <c r="DE151" s="7"/>
      <c r="DF151" s="7"/>
      <c r="DG151" s="7"/>
      <c r="DH151" s="7"/>
      <c r="DI151" s="7"/>
      <c r="DJ151" s="7"/>
      <c r="DK151" s="7"/>
      <c r="DL151" s="7"/>
      <c r="DM151" s="7"/>
      <c r="DN151" s="7"/>
      <c r="DO151" s="7"/>
      <c r="DP151" s="7"/>
      <c r="DQ151" s="7"/>
      <c r="DR151" s="7"/>
      <c r="DS151" s="7"/>
      <c r="DT151" s="7"/>
      <c r="DU151" s="7"/>
      <c r="DV151" s="7"/>
      <c r="DW151" s="7"/>
      <c r="DX151" s="7"/>
      <c r="DY151" s="7"/>
      <c r="DZ151" s="7"/>
      <c r="EA151" s="7"/>
      <c r="EB151" s="7"/>
      <c r="EC151" s="7"/>
      <c r="ED151" s="7"/>
      <c r="EE151" s="7"/>
      <c r="EF151" s="7"/>
      <c r="EG151" s="7"/>
      <c r="EH151" s="7"/>
    </row>
    <row r="152" spans="5:138" ht="15.6" x14ac:dyDescent="0.3"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20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7"/>
      <c r="BV152" s="7"/>
      <c r="BW152" s="7"/>
      <c r="BX152" s="7"/>
      <c r="BY152" s="7"/>
      <c r="BZ152" s="7"/>
      <c r="CA152" s="7"/>
      <c r="CB152" s="7"/>
      <c r="CC152" s="7"/>
      <c r="CD152" s="7"/>
      <c r="CE152" s="7"/>
      <c r="CF152" s="7"/>
      <c r="CG152" s="7"/>
      <c r="CH152" s="7"/>
      <c r="CI152" s="7"/>
      <c r="CJ152" s="7"/>
      <c r="CK152" s="7"/>
      <c r="CL152" s="7"/>
      <c r="CM152" s="7"/>
      <c r="CN152" s="7"/>
      <c r="CO152" s="7"/>
      <c r="CP152" s="7"/>
      <c r="CQ152" s="7"/>
      <c r="CR152" s="7"/>
      <c r="CS152" s="7"/>
      <c r="CT152" s="7"/>
      <c r="CU152" s="7"/>
      <c r="CV152" s="7"/>
      <c r="CW152" s="7"/>
      <c r="CX152" s="7"/>
      <c r="CY152" s="7"/>
      <c r="CZ152" s="7"/>
      <c r="DA152" s="7"/>
      <c r="DB152" s="7"/>
      <c r="DC152" s="7"/>
      <c r="DD152" s="7"/>
      <c r="DE152" s="7"/>
      <c r="DF152" s="7"/>
      <c r="DG152" s="7"/>
      <c r="DH152" s="7"/>
      <c r="DI152" s="7"/>
      <c r="DJ152" s="7"/>
      <c r="DK152" s="7"/>
      <c r="DL152" s="7"/>
      <c r="DM152" s="7"/>
      <c r="DN152" s="7"/>
      <c r="DO152" s="7"/>
      <c r="DP152" s="7"/>
      <c r="DQ152" s="7"/>
      <c r="DR152" s="7"/>
      <c r="DS152" s="7"/>
      <c r="DT152" s="7"/>
      <c r="DU152" s="7"/>
      <c r="DV152" s="7"/>
      <c r="DW152" s="7"/>
      <c r="DX152" s="7"/>
      <c r="DY152" s="7"/>
      <c r="DZ152" s="7"/>
      <c r="EA152" s="7"/>
      <c r="EB152" s="7"/>
      <c r="EC152" s="7"/>
      <c r="ED152" s="7"/>
      <c r="EE152" s="7"/>
      <c r="EF152" s="7"/>
      <c r="EG152" s="7"/>
      <c r="EH152" s="7"/>
    </row>
    <row r="153" spans="5:138" ht="15.6" x14ac:dyDescent="0.3"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20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BS153" s="7"/>
      <c r="BT153" s="7"/>
      <c r="BU153" s="7"/>
      <c r="BV153" s="7"/>
      <c r="BW153" s="7"/>
      <c r="BX153" s="7"/>
      <c r="BY153" s="7"/>
      <c r="BZ153" s="7"/>
      <c r="CA153" s="7"/>
      <c r="CB153" s="7"/>
      <c r="CC153" s="7"/>
      <c r="CD153" s="7"/>
      <c r="CE153" s="7"/>
      <c r="CF153" s="7"/>
      <c r="CG153" s="7"/>
      <c r="CH153" s="7"/>
      <c r="CI153" s="7"/>
      <c r="CJ153" s="7"/>
      <c r="CK153" s="7"/>
      <c r="CL153" s="7"/>
      <c r="CM153" s="7"/>
      <c r="CN153" s="7"/>
      <c r="CO153" s="7"/>
      <c r="CP153" s="7"/>
      <c r="CQ153" s="7"/>
      <c r="CR153" s="7"/>
      <c r="CS153" s="7"/>
      <c r="CT153" s="7"/>
      <c r="CU153" s="7"/>
      <c r="CV153" s="7"/>
      <c r="CW153" s="7"/>
      <c r="CX153" s="7"/>
      <c r="CY153" s="7"/>
      <c r="CZ153" s="7"/>
      <c r="DA153" s="7"/>
      <c r="DB153" s="7"/>
      <c r="DC153" s="7"/>
      <c r="DD153" s="7"/>
      <c r="DE153" s="7"/>
      <c r="DF153" s="7"/>
      <c r="DG153" s="7"/>
      <c r="DH153" s="7"/>
      <c r="DI153" s="7"/>
      <c r="DJ153" s="7"/>
      <c r="DK153" s="7"/>
      <c r="DL153" s="7"/>
      <c r="DM153" s="7"/>
      <c r="DN153" s="7"/>
      <c r="DO153" s="7"/>
      <c r="DP153" s="7"/>
      <c r="DQ153" s="7"/>
      <c r="DR153" s="7"/>
      <c r="DS153" s="7"/>
      <c r="DT153" s="7"/>
      <c r="DU153" s="7"/>
      <c r="DV153" s="7"/>
      <c r="DW153" s="7"/>
      <c r="DX153" s="7"/>
      <c r="DY153" s="7"/>
      <c r="DZ153" s="7"/>
      <c r="EA153" s="7"/>
      <c r="EB153" s="7"/>
      <c r="EC153" s="7"/>
      <c r="ED153" s="7"/>
      <c r="EE153" s="7"/>
      <c r="EF153" s="7"/>
      <c r="EG153" s="7"/>
      <c r="EH153" s="7"/>
    </row>
    <row r="154" spans="5:138" ht="15.6" x14ac:dyDescent="0.3"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20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/>
      <c r="BR154" s="7"/>
      <c r="BS154" s="7"/>
      <c r="BT154" s="7"/>
      <c r="BU154" s="7"/>
      <c r="BV154" s="7"/>
      <c r="BW154" s="7"/>
      <c r="BX154" s="7"/>
      <c r="BY154" s="7"/>
      <c r="BZ154" s="7"/>
      <c r="CA154" s="7"/>
      <c r="CB154" s="7"/>
      <c r="CC154" s="7"/>
      <c r="CD154" s="7"/>
      <c r="CE154" s="7"/>
      <c r="CF154" s="7"/>
      <c r="CG154" s="7"/>
      <c r="CH154" s="7"/>
      <c r="CI154" s="7"/>
      <c r="CJ154" s="7"/>
      <c r="CK154" s="7"/>
      <c r="CL154" s="7"/>
      <c r="CM154" s="7"/>
      <c r="CN154" s="7"/>
      <c r="CO154" s="7"/>
      <c r="CP154" s="7"/>
      <c r="CQ154" s="7"/>
      <c r="CR154" s="7"/>
      <c r="CS154" s="7"/>
      <c r="CT154" s="7"/>
      <c r="CU154" s="7"/>
      <c r="CV154" s="7"/>
      <c r="CW154" s="7"/>
      <c r="CX154" s="7"/>
      <c r="CY154" s="7"/>
      <c r="CZ154" s="7"/>
      <c r="DA154" s="7"/>
      <c r="DB154" s="7"/>
      <c r="DC154" s="7"/>
      <c r="DD154" s="7"/>
      <c r="DE154" s="7"/>
      <c r="DF154" s="7"/>
      <c r="DG154" s="7"/>
      <c r="DH154" s="7"/>
      <c r="DI154" s="7"/>
      <c r="DJ154" s="7"/>
      <c r="DK154" s="7"/>
      <c r="DL154" s="7"/>
      <c r="DM154" s="7"/>
      <c r="DN154" s="7"/>
      <c r="DO154" s="7"/>
      <c r="DP154" s="7"/>
      <c r="DQ154" s="7"/>
      <c r="DR154" s="7"/>
      <c r="DS154" s="7"/>
      <c r="DT154" s="7"/>
      <c r="DU154" s="7"/>
      <c r="DV154" s="7"/>
      <c r="DW154" s="7"/>
      <c r="DX154" s="7"/>
      <c r="DY154" s="7"/>
      <c r="DZ154" s="7"/>
      <c r="EA154" s="7"/>
      <c r="EB154" s="7"/>
      <c r="EC154" s="7"/>
      <c r="ED154" s="7"/>
      <c r="EE154" s="7"/>
      <c r="EF154" s="7"/>
      <c r="EG154" s="7"/>
      <c r="EH154" s="7"/>
    </row>
    <row r="155" spans="5:138" ht="15.6" x14ac:dyDescent="0.3"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20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7"/>
      <c r="BV155" s="7"/>
      <c r="BW155" s="7"/>
      <c r="BX155" s="7"/>
      <c r="BY155" s="7"/>
      <c r="BZ155" s="7"/>
      <c r="CA155" s="7"/>
      <c r="CB155" s="7"/>
      <c r="CC155" s="7"/>
      <c r="CD155" s="7"/>
      <c r="CE155" s="7"/>
      <c r="CF155" s="7"/>
      <c r="CG155" s="7"/>
      <c r="CH155" s="7"/>
      <c r="CI155" s="7"/>
      <c r="CJ155" s="7"/>
      <c r="CK155" s="7"/>
      <c r="CL155" s="7"/>
      <c r="CM155" s="7"/>
      <c r="CN155" s="7"/>
      <c r="CO155" s="7"/>
      <c r="CP155" s="7"/>
      <c r="CQ155" s="7"/>
      <c r="CR155" s="7"/>
      <c r="CS155" s="7"/>
      <c r="CT155" s="7"/>
      <c r="CU155" s="7"/>
      <c r="CV155" s="7"/>
      <c r="CW155" s="7"/>
      <c r="CX155" s="7"/>
      <c r="CY155" s="7"/>
      <c r="CZ155" s="7"/>
      <c r="DA155" s="7"/>
      <c r="DB155" s="7"/>
      <c r="DC155" s="7"/>
      <c r="DD155" s="7"/>
      <c r="DE155" s="7"/>
      <c r="DF155" s="7"/>
      <c r="DG155" s="7"/>
      <c r="DH155" s="7"/>
      <c r="DI155" s="7"/>
      <c r="DJ155" s="7"/>
      <c r="DK155" s="7"/>
      <c r="DL155" s="7"/>
      <c r="DM155" s="7"/>
      <c r="DN155" s="7"/>
      <c r="DO155" s="7"/>
      <c r="DP155" s="7"/>
      <c r="DQ155" s="7"/>
      <c r="DR155" s="7"/>
      <c r="DS155" s="7"/>
      <c r="DT155" s="7"/>
      <c r="DU155" s="7"/>
      <c r="DV155" s="7"/>
      <c r="DW155" s="7"/>
      <c r="DX155" s="7"/>
      <c r="DY155" s="7"/>
      <c r="DZ155" s="7"/>
      <c r="EA155" s="7"/>
      <c r="EB155" s="7"/>
      <c r="EC155" s="7"/>
      <c r="ED155" s="7"/>
      <c r="EE155" s="7"/>
      <c r="EF155" s="7"/>
      <c r="EG155" s="7"/>
      <c r="EH155" s="7"/>
    </row>
    <row r="156" spans="5:138" ht="15.6" x14ac:dyDescent="0.3"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20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7"/>
      <c r="BF156" s="7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7"/>
      <c r="BV156" s="7"/>
      <c r="BW156" s="7"/>
      <c r="BX156" s="7"/>
      <c r="BY156" s="7"/>
      <c r="BZ156" s="7"/>
      <c r="CA156" s="7"/>
      <c r="CB156" s="7"/>
      <c r="CC156" s="7"/>
      <c r="CD156" s="7"/>
      <c r="CE156" s="7"/>
      <c r="CF156" s="7"/>
      <c r="CG156" s="7"/>
      <c r="CH156" s="7"/>
      <c r="CI156" s="7"/>
      <c r="CJ156" s="7"/>
      <c r="CK156" s="7"/>
      <c r="CL156" s="7"/>
      <c r="CM156" s="7"/>
      <c r="CN156" s="7"/>
      <c r="CO156" s="7"/>
      <c r="CP156" s="7"/>
      <c r="CQ156" s="7"/>
      <c r="CR156" s="7"/>
      <c r="CS156" s="7"/>
      <c r="CT156" s="7"/>
      <c r="CU156" s="7"/>
      <c r="CV156" s="7"/>
      <c r="CW156" s="7"/>
      <c r="CX156" s="7"/>
      <c r="CY156" s="7"/>
      <c r="CZ156" s="7"/>
      <c r="DA156" s="7"/>
      <c r="DB156" s="7"/>
      <c r="DC156" s="7"/>
      <c r="DD156" s="7"/>
      <c r="DE156" s="7"/>
      <c r="DF156" s="7"/>
      <c r="DG156" s="7"/>
      <c r="DH156" s="7"/>
      <c r="DI156" s="7"/>
      <c r="DJ156" s="7"/>
      <c r="DK156" s="7"/>
      <c r="DL156" s="7"/>
      <c r="DM156" s="7"/>
      <c r="DN156" s="7"/>
      <c r="DO156" s="7"/>
      <c r="DP156" s="7"/>
      <c r="DQ156" s="7"/>
      <c r="DR156" s="7"/>
      <c r="DS156" s="7"/>
      <c r="DT156" s="7"/>
      <c r="DU156" s="7"/>
      <c r="DV156" s="7"/>
      <c r="DW156" s="7"/>
      <c r="DX156" s="7"/>
      <c r="DY156" s="7"/>
      <c r="DZ156" s="7"/>
      <c r="EA156" s="7"/>
      <c r="EB156" s="7"/>
      <c r="EC156" s="7"/>
      <c r="ED156" s="7"/>
      <c r="EE156" s="7"/>
      <c r="EF156" s="7"/>
      <c r="EG156" s="7"/>
      <c r="EH156" s="7"/>
    </row>
    <row r="157" spans="5:138" ht="15.6" x14ac:dyDescent="0.3"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20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  <c r="BE157" s="7"/>
      <c r="BF157" s="7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7"/>
      <c r="BV157" s="7"/>
      <c r="BW157" s="7"/>
      <c r="BX157" s="7"/>
      <c r="BY157" s="7"/>
      <c r="BZ157" s="7"/>
      <c r="CA157" s="7"/>
      <c r="CB157" s="7"/>
      <c r="CC157" s="7"/>
      <c r="CD157" s="7"/>
      <c r="CE157" s="7"/>
      <c r="CF157" s="7"/>
      <c r="CG157" s="7"/>
      <c r="CH157" s="7"/>
      <c r="CI157" s="7"/>
      <c r="CJ157" s="7"/>
      <c r="CK157" s="7"/>
      <c r="CL157" s="7"/>
      <c r="CM157" s="7"/>
      <c r="CN157" s="7"/>
      <c r="CO157" s="7"/>
      <c r="CP157" s="7"/>
      <c r="CQ157" s="7"/>
      <c r="CR157" s="7"/>
      <c r="CS157" s="7"/>
      <c r="CT157" s="7"/>
      <c r="CU157" s="7"/>
      <c r="CV157" s="7"/>
      <c r="CW157" s="7"/>
      <c r="CX157" s="7"/>
      <c r="CY157" s="7"/>
      <c r="CZ157" s="7"/>
      <c r="DA157" s="7"/>
      <c r="DB157" s="7"/>
      <c r="DC157" s="7"/>
      <c r="DD157" s="7"/>
      <c r="DE157" s="7"/>
      <c r="DF157" s="7"/>
      <c r="DG157" s="7"/>
      <c r="DH157" s="7"/>
      <c r="DI157" s="7"/>
      <c r="DJ157" s="7"/>
      <c r="DK157" s="7"/>
      <c r="DL157" s="7"/>
      <c r="DM157" s="7"/>
      <c r="DN157" s="7"/>
      <c r="DO157" s="7"/>
      <c r="DP157" s="7"/>
      <c r="DQ157" s="7"/>
      <c r="DR157" s="7"/>
      <c r="DS157" s="7"/>
      <c r="DT157" s="7"/>
      <c r="DU157" s="7"/>
      <c r="DV157" s="7"/>
      <c r="DW157" s="7"/>
      <c r="DX157" s="7"/>
      <c r="DY157" s="7"/>
      <c r="DZ157" s="7"/>
      <c r="EA157" s="7"/>
      <c r="EB157" s="7"/>
      <c r="EC157" s="7"/>
      <c r="ED157" s="7"/>
      <c r="EE157" s="7"/>
      <c r="EF157" s="7"/>
      <c r="EG157" s="7"/>
      <c r="EH157" s="7"/>
    </row>
    <row r="158" spans="5:138" ht="15.6" x14ac:dyDescent="0.3"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20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  <c r="BE158" s="7"/>
      <c r="BF158" s="7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7"/>
      <c r="BV158" s="7"/>
      <c r="BW158" s="7"/>
      <c r="BX158" s="7"/>
      <c r="BY158" s="7"/>
      <c r="BZ158" s="7"/>
      <c r="CA158" s="7"/>
      <c r="CB158" s="7"/>
      <c r="CC158" s="7"/>
      <c r="CD158" s="7"/>
      <c r="CE158" s="7"/>
      <c r="CF158" s="7"/>
      <c r="CG158" s="7"/>
      <c r="CH158" s="7"/>
      <c r="CI158" s="7"/>
      <c r="CJ158" s="7"/>
      <c r="CK158" s="7"/>
      <c r="CL158" s="7"/>
      <c r="CM158" s="7"/>
      <c r="CN158" s="7"/>
      <c r="CO158" s="7"/>
      <c r="CP158" s="7"/>
      <c r="CQ158" s="7"/>
      <c r="CR158" s="7"/>
      <c r="CS158" s="7"/>
      <c r="CT158" s="7"/>
      <c r="CU158" s="7"/>
      <c r="CV158" s="7"/>
      <c r="CW158" s="7"/>
      <c r="CX158" s="7"/>
      <c r="CY158" s="7"/>
      <c r="CZ158" s="7"/>
      <c r="DA158" s="7"/>
      <c r="DB158" s="7"/>
      <c r="DC158" s="7"/>
      <c r="DD158" s="7"/>
      <c r="DE158" s="7"/>
      <c r="DF158" s="7"/>
      <c r="DG158" s="7"/>
      <c r="DH158" s="7"/>
      <c r="DI158" s="7"/>
      <c r="DJ158" s="7"/>
      <c r="DK158" s="7"/>
      <c r="DL158" s="7"/>
      <c r="DM158" s="7"/>
      <c r="DN158" s="7"/>
      <c r="DO158" s="7"/>
      <c r="DP158" s="7"/>
      <c r="DQ158" s="7"/>
      <c r="DR158" s="7"/>
      <c r="DS158" s="7"/>
      <c r="DT158" s="7"/>
      <c r="DU158" s="7"/>
      <c r="DV158" s="7"/>
      <c r="DW158" s="7"/>
      <c r="DX158" s="7"/>
      <c r="DY158" s="7"/>
      <c r="DZ158" s="7"/>
      <c r="EA158" s="7"/>
      <c r="EB158" s="7"/>
      <c r="EC158" s="7"/>
      <c r="ED158" s="7"/>
      <c r="EE158" s="7"/>
      <c r="EF158" s="7"/>
      <c r="EG158" s="7"/>
      <c r="EH158" s="7"/>
    </row>
    <row r="159" spans="5:138" ht="15.6" x14ac:dyDescent="0.3"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  <c r="BE159" s="7"/>
      <c r="BF159" s="7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7"/>
      <c r="BV159" s="7"/>
      <c r="BW159" s="7"/>
      <c r="BX159" s="7"/>
      <c r="BY159" s="7"/>
      <c r="BZ159" s="7"/>
      <c r="CA159" s="7"/>
      <c r="CB159" s="7"/>
      <c r="CC159" s="7"/>
      <c r="CD159" s="7"/>
      <c r="CE159" s="7"/>
      <c r="CF159" s="7"/>
      <c r="CG159" s="7"/>
      <c r="CH159" s="7"/>
      <c r="CI159" s="7"/>
      <c r="CJ159" s="7"/>
      <c r="CK159" s="7"/>
      <c r="CL159" s="7"/>
      <c r="CM159" s="7"/>
      <c r="CN159" s="7"/>
      <c r="CO159" s="7"/>
      <c r="CP159" s="7"/>
      <c r="CQ159" s="7"/>
      <c r="CR159" s="7"/>
      <c r="CS159" s="7"/>
      <c r="CT159" s="7"/>
      <c r="CU159" s="7"/>
      <c r="CV159" s="7"/>
      <c r="CW159" s="7"/>
      <c r="CX159" s="7"/>
      <c r="CY159" s="7"/>
      <c r="CZ159" s="7"/>
      <c r="DA159" s="7"/>
      <c r="DB159" s="7"/>
      <c r="DC159" s="7"/>
      <c r="DD159" s="7"/>
      <c r="DE159" s="7"/>
      <c r="DF159" s="7"/>
      <c r="DG159" s="7"/>
      <c r="DH159" s="7"/>
      <c r="DI159" s="7"/>
      <c r="DJ159" s="7"/>
      <c r="DK159" s="7"/>
      <c r="DL159" s="7"/>
      <c r="DM159" s="7"/>
      <c r="DN159" s="7"/>
      <c r="DO159" s="7"/>
      <c r="DP159" s="7"/>
      <c r="DQ159" s="7"/>
      <c r="DR159" s="7"/>
      <c r="DS159" s="7"/>
      <c r="DT159" s="7"/>
      <c r="DU159" s="7"/>
      <c r="DV159" s="7"/>
      <c r="DW159" s="7"/>
      <c r="DX159" s="7"/>
      <c r="DY159" s="7"/>
      <c r="DZ159" s="7"/>
      <c r="EA159" s="7"/>
      <c r="EB159" s="7"/>
      <c r="EC159" s="7"/>
      <c r="ED159" s="7"/>
      <c r="EE159" s="7"/>
      <c r="EF159" s="7"/>
      <c r="EG159" s="7"/>
      <c r="EH159" s="7"/>
    </row>
  </sheetData>
  <mergeCells count="13">
    <mergeCell ref="AL38:AL69"/>
    <mergeCell ref="BT38:BT69"/>
    <mergeCell ref="DB38:DB69"/>
    <mergeCell ref="E73:E104"/>
    <mergeCell ref="AL73:AL104"/>
    <mergeCell ref="BT73:BT104"/>
    <mergeCell ref="DB73:DB104"/>
    <mergeCell ref="E38:E69"/>
    <mergeCell ref="A1:B2"/>
    <mergeCell ref="A10:B10"/>
    <mergeCell ref="A15:B15"/>
    <mergeCell ref="A19:B19"/>
    <mergeCell ref="A24:B24"/>
  </mergeCells>
  <conditionalFormatting sqref="G3:AK3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KuznetsovObnulenie">
                <anchor moveWithCells="1">
                  <from>
                    <xdr:col>0</xdr:col>
                    <xdr:colOff>76200</xdr:colOff>
                    <xdr:row>31</xdr:row>
                    <xdr:rowOff>99060</xdr:rowOff>
                  </from>
                  <to>
                    <xdr:col>2</xdr:col>
                    <xdr:colOff>99060</xdr:colOff>
                    <xdr:row>32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KuznetsovRaschet">
                <anchor moveWithCells="1">
                  <from>
                    <xdr:col>0</xdr:col>
                    <xdr:colOff>60960</xdr:colOff>
                    <xdr:row>29</xdr:row>
                    <xdr:rowOff>121920</xdr:rowOff>
                  </from>
                  <to>
                    <xdr:col>2</xdr:col>
                    <xdr:colOff>76200</xdr:colOff>
                    <xdr:row>30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 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Артём Малютин</dc:creator>
  <cp:lastModifiedBy>user</cp:lastModifiedBy>
  <dcterms:created xsi:type="dcterms:W3CDTF">2021-04-01T13:16:41Z</dcterms:created>
  <dcterms:modified xsi:type="dcterms:W3CDTF">2021-04-17T18:13:48Z</dcterms:modified>
</cp:coreProperties>
</file>
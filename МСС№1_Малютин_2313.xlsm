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36" windowWidth="22980" windowHeight="9552"/>
  </bookViews>
  <sheets>
    <sheet name="Лист1" sheetId="1" r:id="rId1"/>
    <sheet name="Лист2" sheetId="2" r:id="rId2"/>
    <sheet name="Лист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AJ13" i="1" l="1"/>
  <c r="F13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5" i="1" l="1"/>
  <c r="L15" i="1" l="1"/>
  <c r="T15" i="1"/>
  <c r="AB15" i="1"/>
  <c r="G15" i="1"/>
  <c r="M15" i="1"/>
  <c r="U15" i="1"/>
  <c r="AC15" i="1"/>
  <c r="N15" i="1"/>
  <c r="V15" i="1"/>
  <c r="AD15" i="1"/>
  <c r="O15" i="1"/>
  <c r="W15" i="1"/>
  <c r="AE15" i="1"/>
  <c r="I15" i="1"/>
  <c r="Q15" i="1"/>
  <c r="Y15" i="1"/>
  <c r="AG15" i="1"/>
  <c r="J15" i="1"/>
  <c r="R15" i="1"/>
  <c r="Z15" i="1"/>
  <c r="AH15" i="1"/>
  <c r="K15" i="1"/>
  <c r="S15" i="1"/>
  <c r="AI15" i="1"/>
  <c r="H15" i="1"/>
  <c r="P15" i="1"/>
  <c r="X15" i="1"/>
  <c r="AF15" i="1"/>
  <c r="AA15" i="1"/>
</calcChain>
</file>

<file path=xl/sharedStrings.xml><?xml version="1.0" encoding="utf-8"?>
<sst xmlns="http://schemas.openxmlformats.org/spreadsheetml/2006/main" count="12" uniqueCount="11">
  <si>
    <t>L</t>
  </si>
  <si>
    <t>dt</t>
  </si>
  <si>
    <t>dx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</si>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</sst>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23168"/>
        <c:axId val="64020480"/>
      </c:scatterChart>
      <c:valAx>
        <c:axId val="64023168"/>
        <c:scaling>
          <c:orientation val="minMax"/>
          <c:max val="0.1"/>
        </c:scaling>
        <c:delete val="0"/>
        <c:axPos val="b"/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64020480"/>
        <c:crosses val="autoZero"/>
        <c:crossBetween val="midCat"/>
      </c:valAx>
      <c:valAx>
        <c:axId val="64020480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640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380999</xdr:colOff>
      <xdr:row>16</xdr:row>
      <xdr:rowOff>109537</xdr:rowOff>
    </xdr:from>
    <xdr:to>
      <xdr:col>22</xdr:col>
      <xdr:colOff>85725</xdr:colOff>
      <xdr:row>44</xdr:row>
      <xdr:rowOff>19050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409575</xdr:colOff>
      <xdr:row>40</xdr:row>
      <xdr:rowOff>171451</xdr:rowOff>
    </xdr:from>
    <xdr:ext cx="933450" cy="6096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TextBox 9"/>
            <xdr:cNvSpPr txBox="1"/>
          </xdr:nvSpPr>
          <xdr:spPr>
            <a:xfrm>
              <a:off x="10029825" y="7410451"/>
              <a:ext cx="933450" cy="609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800" b="1" i="1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, (</m:t>
                  </m:r>
                  <m:r>
                    <a:rPr lang="en-US" sz="1800" b="1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𝒎</m:t>
                  </m:r>
                  <m:r>
                    <a:rPr lang="en-US" sz="1800" b="1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)</m:t>
                  </m:r>
                </m:oMath>
              </a14:m>
              <a:endParaRPr lang="ru-RU" sz="1800" b="1" i="1">
                <a:effectLst/>
              </a:endParaRPr>
            </a:p>
            <a:p>
              <a:endParaRPr lang="ru-RU" sz="1100"/>
            </a:p>
          </xdr:txBody>
        </xdr:sp>
      </mc:Choice>
      <mc:Fallback>
        <xdr:sp macro="" textlink="">
          <xdr:nvSpPr>
            <xdr:cNvPr id="10" name="TextBox 9"/>
            <xdr:cNvSpPr txBox="1"/>
          </xdr:nvSpPr>
          <xdr:spPr>
            <a:xfrm>
              <a:off x="10029825" y="7410451"/>
              <a:ext cx="933450" cy="609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800" b="1" i="1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L</a:t>
              </a:r>
              <a:r>
                <a:rPr lang="en-US" sz="18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(</a:t>
              </a:r>
              <a:r>
                <a:rPr lang="en-US" sz="18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𝒎</a:t>
              </a:r>
              <a:r>
                <a:rPr lang="en-US" sz="18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ru-RU" sz="1800" b="1" i="1">
                <a:effectLst/>
              </a:endParaRPr>
            </a:p>
            <a:p>
              <a:endParaRPr lang="ru-RU" sz="1100"/>
            </a:p>
          </xdr:txBody>
        </xdr:sp>
      </mc:Fallback>
    </mc:AlternateContent>
    <xdr:clientData/>
  </xdr:oneCellAnchor>
  <xdr:oneCellAnchor>
    <xdr:from>
      <xdr:col>6</xdr:col>
      <xdr:colOff>238125</xdr:colOff>
      <xdr:row>16</xdr:row>
      <xdr:rowOff>157162</xdr:rowOff>
    </xdr:from>
    <xdr:ext cx="914400" cy="37414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TextBox 10"/>
            <xdr:cNvSpPr txBox="1"/>
          </xdr:nvSpPr>
          <xdr:spPr>
            <a:xfrm>
              <a:off x="3724275" y="3052762"/>
              <a:ext cx="914400" cy="37414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/>
                      </a:rPr>
                      <m:t>𝑻</m:t>
                    </m:r>
                    <m:r>
                      <a:rPr lang="en-US" sz="1800" b="1" i="1">
                        <a:latin typeface="Cambria Math"/>
                      </a:rPr>
                      <m:t>,(</m:t>
                    </m:r>
                    <m:r>
                      <a:rPr lang="en-US" sz="1800" b="1" i="1">
                        <a:latin typeface="Cambria Math"/>
                      </a:rPr>
                      <m:t>𝑪</m:t>
                    </m:r>
                    <m:r>
                      <a:rPr lang="en-US" sz="1800" b="1" i="1">
                        <a:latin typeface="Cambria Math"/>
                      </a:rPr>
                      <m:t>)</m:t>
                    </m:r>
                  </m:oMath>
                </m:oMathPara>
              </a14:m>
              <a:endParaRPr lang="ru-RU" sz="1800" b="1"/>
            </a:p>
          </xdr:txBody>
        </xdr:sp>
      </mc:Choice>
      <mc:Fallback>
        <xdr:sp macro="" textlink="">
          <xdr:nvSpPr>
            <xdr:cNvPr id="11" name="TextBox 10"/>
            <xdr:cNvSpPr txBox="1"/>
          </xdr:nvSpPr>
          <xdr:spPr>
            <a:xfrm>
              <a:off x="3724275" y="3052762"/>
              <a:ext cx="914400" cy="374141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800" b="1" i="0">
                  <a:latin typeface="Cambria Math"/>
                </a:rPr>
                <a:t>𝑻,(𝑪)</a:t>
              </a:r>
              <a:endParaRPr lang="ru-RU" sz="18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MKR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293.32310708172031</v>
          </cell>
          <cell r="H13">
            <v>286.64621416344067</v>
          </cell>
          <cell r="I13">
            <v>279.96976818142753</v>
          </cell>
          <cell r="J13">
            <v>273.29332219941438</v>
          </cell>
          <cell r="K13">
            <v>266.61775055667476</v>
          </cell>
          <cell r="L13">
            <v>259.94217891393515</v>
          </cell>
          <cell r="M13">
            <v>253.26787080065432</v>
          </cell>
          <cell r="N13">
            <v>246.59356268737349</v>
          </cell>
          <cell r="O13">
            <v>239.9208520714362</v>
          </cell>
          <cell r="P13">
            <v>233.24814145549891</v>
          </cell>
          <cell r="Q13">
            <v>226.57729248649036</v>
          </cell>
          <cell r="R13">
            <v>219.90644351748179</v>
          </cell>
          <cell r="S13">
            <v>213.23763898208321</v>
          </cell>
          <cell r="T13">
            <v>206.56883444668463</v>
          </cell>
          <cell r="U13">
            <v>199.9021677800182</v>
          </cell>
          <cell r="V13">
            <v>193.2355011133518</v>
          </cell>
          <cell r="W13">
            <v>186.57097231541749</v>
          </cell>
          <cell r="X13">
            <v>179.90644351748318</v>
          </cell>
          <cell r="Y13">
            <v>173.24395915315873</v>
          </cell>
          <cell r="Z13">
            <v>166.58147478883427</v>
          </cell>
          <cell r="AA13">
            <v>159.92085207143839</v>
          </cell>
          <cell r="AB13">
            <v>153.26022935404251</v>
          </cell>
          <cell r="AC13">
            <v>146.60120413398997</v>
          </cell>
          <cell r="AD13">
            <v>139.94217891393743</v>
          </cell>
          <cell r="AE13">
            <v>133.28441722334344</v>
          </cell>
          <cell r="AF13">
            <v>126.62665553274945</v>
          </cell>
          <cell r="AG13">
            <v>119.96976818142888</v>
          </cell>
          <cell r="AH13">
            <v>113.3128808301083</v>
          </cell>
          <cell r="AI13">
            <v>106.65644041505415</v>
          </cell>
          <cell r="AJ13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="80" zoomScaleNormal="80" workbookViewId="0">
      <selection activeCell="G13" sqref="G13:AI13"/>
    </sheetView>
  </sheetViews>
  <sheetFormatPr defaultRowHeight="14.4" x14ac:dyDescent="0.3"/>
  <cols>
    <col min="6" max="36" width="6.441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2</v>
      </c>
      <c r="C4" s="3">
        <f>C3/30</f>
        <v>3.3333333333333335E-3</v>
      </c>
    </row>
    <row r="5" spans="2:36" x14ac:dyDescent="0.3">
      <c r="B5" s="2" t="s">
        <v>1</v>
      </c>
      <c r="C5" s="2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7" spans="2:36" x14ac:dyDescent="0.3">
      <c r="B7" s="1"/>
      <c r="C7" s="1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t="s">
        <v>0</v>
      </c>
      <c r="F12" s="3">
        <v>0</v>
      </c>
      <c r="G12" s="4">
        <f>F12+$C$4</f>
        <v>3.3333333333333335E-3</v>
      </c>
      <c r="H12" s="4">
        <f t="shared" ref="H12:AI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>AI12+$C$4</f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>
        <f>C13</f>
        <v>100</v>
      </c>
    </row>
    <row r="15" spans="2:36" x14ac:dyDescent="0.3">
      <c r="E15" t="s">
        <v>10</v>
      </c>
      <c r="G15" s="1">
        <f>G13+(($C$10*$C$5)/($C$9*$C$8))*((H13-2*G13+F13)/($C$4^2))</f>
        <v>293.32310708172031</v>
      </c>
      <c r="H15" s="1">
        <f>H13+(($C$10*$C$5)/($C$9*$C$8))*((I13-2*H13+G13)/($C$4^2))</f>
        <v>286.64643763157392</v>
      </c>
      <c r="I15" s="1">
        <f t="shared" ref="I15:AG15" si="1">I13+(($C$10*$C$5)/($C$9*$C$8))*((J13-2*I13+H13)/($C$4^2))</f>
        <v>279.96976818142753</v>
      </c>
      <c r="J15" s="1">
        <f t="shared" si="1"/>
        <v>273.29375936905114</v>
      </c>
      <c r="K15" s="1">
        <f t="shared" si="1"/>
        <v>266.61775055667476</v>
      </c>
      <c r="L15" s="1">
        <f t="shared" si="1"/>
        <v>259.94281067866456</v>
      </c>
      <c r="M15" s="1">
        <f t="shared" si="1"/>
        <v>253.26787080065432</v>
      </c>
      <c r="N15" s="1">
        <f t="shared" si="1"/>
        <v>246.59436143604526</v>
      </c>
      <c r="O15" s="1">
        <f t="shared" si="1"/>
        <v>239.9208520714362</v>
      </c>
      <c r="P15" s="1">
        <f t="shared" si="1"/>
        <v>233.2490722789633</v>
      </c>
      <c r="Q15" s="1">
        <f t="shared" si="1"/>
        <v>226.57729248649036</v>
      </c>
      <c r="R15" s="1">
        <f t="shared" si="1"/>
        <v>219.9074657342868</v>
      </c>
      <c r="S15" s="1">
        <f t="shared" si="1"/>
        <v>213.23763898208321</v>
      </c>
      <c r="T15" s="1">
        <f t="shared" si="1"/>
        <v>206.56990338105072</v>
      </c>
      <c r="U15" s="1">
        <f t="shared" si="1"/>
        <v>199.9021677800182</v>
      </c>
      <c r="V15" s="1">
        <f t="shared" si="1"/>
        <v>193.23657004771786</v>
      </c>
      <c r="W15" s="1">
        <f t="shared" si="1"/>
        <v>186.57097231541749</v>
      </c>
      <c r="X15" s="1">
        <f t="shared" si="1"/>
        <v>179.90746573428811</v>
      </c>
      <c r="Y15" s="1">
        <f t="shared" si="1"/>
        <v>173.24395915315873</v>
      </c>
      <c r="Z15" s="1">
        <f t="shared" si="1"/>
        <v>166.58240561229854</v>
      </c>
      <c r="AA15" s="1">
        <f t="shared" si="1"/>
        <v>159.92085207143839</v>
      </c>
      <c r="AB15" s="1">
        <f t="shared" si="1"/>
        <v>153.26102810271419</v>
      </c>
      <c r="AC15" s="1">
        <f t="shared" si="1"/>
        <v>146.60120413398997</v>
      </c>
      <c r="AD15" s="1">
        <f t="shared" si="1"/>
        <v>139.94281067866672</v>
      </c>
      <c r="AE15" s="1">
        <f t="shared" si="1"/>
        <v>133.28441722334344</v>
      </c>
      <c r="AF15" s="1">
        <f t="shared" si="1"/>
        <v>126.62709270238616</v>
      </c>
      <c r="AG15" s="1">
        <f t="shared" si="1"/>
        <v>119.96976818142888</v>
      </c>
      <c r="AH15" s="1">
        <f>AH13+(($C$10*$C$5)/($C$9*$C$8))*((AI13-2*AH13+AG13)/($C$4^2))</f>
        <v>113.31310429824151</v>
      </c>
      <c r="AI15" s="1">
        <f>AI13+(($C$10*$C$5)/($C$9*$C$8))*((AJ13-2*AI13+AH13)/($C$4^2))</f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theme="3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2021-03-20T16:10:15Z</dcterms:created>
  <dcterms:modified xsi:type="dcterms:W3CDTF">2021-03-20T20:14:44Z</dcterms:modified>
</cp:coreProperties>
</file>